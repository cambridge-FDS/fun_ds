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chris\Box\brazil\modified model\foc_augmented\simplified\external\"/>
    </mc:Choice>
  </mc:AlternateContent>
  <xr:revisionPtr revIDLastSave="0" documentId="13_ncr:1_{810DF3D8-C272-43B5-9085-E33921B395E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oments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2" i="1"/>
  <c r="N44" i="1" l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44" i="1" l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</calcChain>
</file>

<file path=xl/sharedStrings.xml><?xml version="1.0" encoding="utf-8"?>
<sst xmlns="http://schemas.openxmlformats.org/spreadsheetml/2006/main" count="63" uniqueCount="31">
  <si>
    <t>moment</t>
  </si>
  <si>
    <t>sd</t>
  </si>
  <si>
    <t>average donation in terms of share of HH income</t>
  </si>
  <si>
    <t>average catholic</t>
  </si>
  <si>
    <t>average pentecostal</t>
  </si>
  <si>
    <t>average protestant</t>
  </si>
  <si>
    <t>average other religion</t>
  </si>
  <si>
    <t>average no religion</t>
  </si>
  <si>
    <t>average young</t>
  </si>
  <si>
    <t>average middle</t>
  </si>
  <si>
    <t>average old</t>
  </si>
  <si>
    <t>average low crime</t>
  </si>
  <si>
    <t>average high crime</t>
  </si>
  <si>
    <t>average time in hours per week (later everything in terms of standard deviations from mean)</t>
  </si>
  <si>
    <t>average pray</t>
  </si>
  <si>
    <t>average community_help_job catholic</t>
  </si>
  <si>
    <t>average _job no religion</t>
  </si>
  <si>
    <t>C:\Users\mv416\Box\brazil\modified model\foc_augmented\simplified\results\run_11_16_m</t>
  </si>
  <si>
    <t>paramteters</t>
  </si>
  <si>
    <t>run 11_16_m - 1543 (location)</t>
  </si>
  <si>
    <t>run 1</t>
  </si>
  <si>
    <t>run 2</t>
  </si>
  <si>
    <t>run 3</t>
  </si>
  <si>
    <t>abs % dev</t>
  </si>
  <si>
    <t>run11_23_m -781</t>
  </si>
  <si>
    <t>run 5</t>
  </si>
  <si>
    <t>run 4</t>
  </si>
  <si>
    <t>Graph all</t>
  </si>
  <si>
    <t>run 6</t>
  </si>
  <si>
    <t>run26_11_m 620</t>
  </si>
  <si>
    <t>run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</si>
</sst>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2" tint="-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64" fontId="0" fillId="33" borderId="0" xfId="0" applyNumberFormat="1" applyFill="1"/>
    <xf numFmtId="164" fontId="0" fillId="0" borderId="0" xfId="0" applyNumberFormat="1"/>
    <xf numFmtId="0" fontId="0" fillId="0" borderId="10" xfId="0" applyBorder="1"/>
    <xf numFmtId="0" fontId="0" fillId="0" borderId="0" xfId="0" applyBorder="1"/>
    <xf numFmtId="2" fontId="0" fillId="0" borderId="0" xfId="0" applyNumberFormat="1"/>
    <xf numFmtId="164" fontId="0" fillId="34" borderId="0" xfId="0" applyNumberFormat="1" applyFill="1"/>
    <xf numFmtId="164" fontId="0" fillId="33" borderId="0" xfId="0" applyNumberFormat="1" applyFill="1" applyBorder="1"/>
    <xf numFmtId="164" fontId="0" fillId="0" borderId="0" xfId="0" applyNumberFormat="1" applyBorder="1"/>
    <xf numFmtId="164" fontId="0" fillId="34" borderId="0" xfId="0" applyNumberFormat="1" applyFill="1" applyBorder="1"/>
    <xf numFmtId="2" fontId="0" fillId="0" borderId="0" xfId="0" applyNumberFormat="1" applyBorder="1"/>
    <xf numFmtId="164" fontId="0" fillId="33" borderId="11" xfId="0" applyNumberFormat="1" applyFill="1" applyBorder="1"/>
    <xf numFmtId="164" fontId="0" fillId="0" borderId="11" xfId="0" applyNumberFormat="1" applyBorder="1"/>
    <xf numFmtId="0" fontId="0" fillId="0" borderId="11" xfId="0" applyBorder="1"/>
    <xf numFmtId="164" fontId="0" fillId="34" borderId="11" xfId="0" applyNumberFormat="1" applyFill="1" applyBorder="1"/>
    <xf numFmtId="2" fontId="0" fillId="0" borderId="11" xfId="0" applyNumberFormat="1" applyBorder="1"/>
    <xf numFmtId="11" fontId="0" fillId="0" borderId="0" xfId="0" applyNumberFormat="1" applyBorder="1"/>
    <xf numFmtId="16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Moment fit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moments_new!$Q$2:$Q$44</c:f>
              <c:numCache>
                <c:formatCode>0.00</c:formatCode>
                <c:ptCount val="43"/>
                <c:pt idx="0">
                  <c:v>0.88919119859812623</c:v>
                </c:pt>
                <c:pt idx="1">
                  <c:v>0.96206858706843545</c:v>
                </c:pt>
                <c:pt idx="2">
                  <c:v>0.65406170713988343</c:v>
                </c:pt>
                <c:pt idx="3">
                  <c:v>0.9151562994412249</c:v>
                </c:pt>
                <c:pt idx="4">
                  <c:v>0.97985245118579301</c:v>
                </c:pt>
                <c:pt idx="5">
                  <c:v>1.5600813162969109</c:v>
                </c:pt>
                <c:pt idx="6">
                  <c:v>0.92842293658240715</c:v>
                </c:pt>
                <c:pt idx="7">
                  <c:v>0.80824459873329912</c:v>
                </c:pt>
                <c:pt idx="8">
                  <c:v>1.9334803921787456</c:v>
                </c:pt>
                <c:pt idx="9">
                  <c:v>0.63591911749060004</c:v>
                </c:pt>
                <c:pt idx="10">
                  <c:v>1.3177011169339128</c:v>
                </c:pt>
                <c:pt idx="11">
                  <c:v>0.89952274685933731</c:v>
                </c:pt>
                <c:pt idx="12">
                  <c:v>0.24842223341767986</c:v>
                </c:pt>
                <c:pt idx="13">
                  <c:v>0.7713865668076878</c:v>
                </c:pt>
                <c:pt idx="14">
                  <c:v>4.2105572897700299</c:v>
                </c:pt>
                <c:pt idx="15">
                  <c:v>2.9412062331690048</c:v>
                </c:pt>
                <c:pt idx="16">
                  <c:v>0.98686605740019562</c:v>
                </c:pt>
                <c:pt idx="17">
                  <c:v>4.7490265482289242</c:v>
                </c:pt>
                <c:pt idx="18">
                  <c:v>-152.65143227742442</c:v>
                </c:pt>
                <c:pt idx="19">
                  <c:v>8.205704209142862</c:v>
                </c:pt>
                <c:pt idx="20">
                  <c:v>6.2170098412030663</c:v>
                </c:pt>
                <c:pt idx="21">
                  <c:v>11.910392228161273</c:v>
                </c:pt>
                <c:pt idx="22">
                  <c:v>1.2172009199255591</c:v>
                </c:pt>
                <c:pt idx="23">
                  <c:v>1.8504733079298719</c:v>
                </c:pt>
                <c:pt idx="24">
                  <c:v>-1.1191837551099162</c:v>
                </c:pt>
                <c:pt idx="25">
                  <c:v>4.7828092941485796</c:v>
                </c:pt>
                <c:pt idx="26">
                  <c:v>1.6688459094445127</c:v>
                </c:pt>
                <c:pt idx="27">
                  <c:v>0.20744699845791315</c:v>
                </c:pt>
                <c:pt idx="28">
                  <c:v>3.605862890100108</c:v>
                </c:pt>
                <c:pt idx="29">
                  <c:v>1.2387524048242631</c:v>
                </c:pt>
                <c:pt idx="30">
                  <c:v>16.61991240531259</c:v>
                </c:pt>
                <c:pt idx="31">
                  <c:v>6.2970829096725902</c:v>
                </c:pt>
                <c:pt idx="32">
                  <c:v>5.0561783338908386</c:v>
                </c:pt>
                <c:pt idx="33">
                  <c:v>1.181869485710809</c:v>
                </c:pt>
                <c:pt idx="34">
                  <c:v>0.8115388201870688</c:v>
                </c:pt>
                <c:pt idx="35">
                  <c:v>1.2038525500588533</c:v>
                </c:pt>
                <c:pt idx="36">
                  <c:v>1.985027088461488</c:v>
                </c:pt>
                <c:pt idx="37">
                  <c:v>1.6466322584671238</c:v>
                </c:pt>
                <c:pt idx="38">
                  <c:v>0.66525327867296402</c:v>
                </c:pt>
                <c:pt idx="39">
                  <c:v>0.99090223432255664</c:v>
                </c:pt>
                <c:pt idx="40">
                  <c:v>1.7892061504304724</c:v>
                </c:pt>
                <c:pt idx="41">
                  <c:v>0.97032424824418095</c:v>
                </c:pt>
                <c:pt idx="42">
                  <c:v>0.93429708526582367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5-403C-83BE-AC592090E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0400623"/>
        <c:axId val="2049354783"/>
      </c:lineChart>
      <c:catAx>
        <c:axId val="206040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354783"/>
        <c:crosses val="autoZero"/>
        <c:auto val="1"/>
        <c:lblAlgn val="ctr"/>
        <c:lblOffset val="100"/>
        <c:noMultiLvlLbl val="0"/>
      </c:catAx>
      <c:valAx>
        <c:axId val="2049354783"/>
        <c:scaling>
          <c:orientation val="minMax"/>
          <c:max val="10"/>
          <c:min val="-1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0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342900</xdr:colOff>
      <xdr:row>0</xdr:row>
      <xdr:rowOff>163830</xdr:rowOff>
    </xdr:from>
    <xdr:to>
      <xdr:col>27</xdr:col>
      <xdr:colOff>38100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19ADB-CD04-4055-8667-5E5BA8B02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4"/>
  <sheetViews>
    <sheetView tabSelected="1" workbookViewId="0">
      <selection activeCell="S14" sqref="S14"/>
    </sheetView>
  </sheetViews>
  <sheetFormatPr defaultRowHeight="14.4" x14ac:dyDescent="0.3"/>
  <cols>
    <col min="1" max="1" width="9.109375" style="17"/>
    <col min="2" max="2" width="8.88671875" style="2"/>
    <col min="4" max="4" width="23.109375" customWidth="1"/>
    <col min="5" max="10" width="0" style="2" hidden="1" customWidth="1"/>
    <col min="11" max="14" width="0" hidden="1" customWidth="1"/>
    <col min="15" max="15" width="12.6640625" hidden="1" customWidth="1"/>
    <col min="16" max="16" width="12.6640625" style="18" customWidth="1"/>
    <col min="17" max="17" width="10.21875" bestFit="1" customWidth="1"/>
  </cols>
  <sheetData>
    <row r="1" spans="1:19" x14ac:dyDescent="0.3">
      <c r="A1" s="1" t="s">
        <v>0</v>
      </c>
      <c r="B1" s="2" t="s">
        <v>1</v>
      </c>
      <c r="E1" s="2" t="s">
        <v>20</v>
      </c>
      <c r="F1" s="2" t="s">
        <v>23</v>
      </c>
      <c r="G1" s="2" t="s">
        <v>21</v>
      </c>
      <c r="H1" s="2" t="s">
        <v>23</v>
      </c>
      <c r="I1" s="2" t="s">
        <v>22</v>
      </c>
      <c r="J1" s="2" t="s">
        <v>23</v>
      </c>
      <c r="K1" s="2" t="s">
        <v>26</v>
      </c>
      <c r="L1" s="2" t="s">
        <v>23</v>
      </c>
      <c r="M1" s="2" t="s">
        <v>25</v>
      </c>
      <c r="N1" s="2" t="s">
        <v>23</v>
      </c>
      <c r="O1" s="2" t="s">
        <v>28</v>
      </c>
      <c r="P1" s="6" t="s">
        <v>30</v>
      </c>
      <c r="Q1" s="2" t="s">
        <v>27</v>
      </c>
      <c r="R1" s="2"/>
      <c r="S1" s="2"/>
    </row>
    <row r="2" spans="1:19" x14ac:dyDescent="0.3">
      <c r="A2" s="1">
        <v>1.5070399999999999E-2</v>
      </c>
      <c r="B2" s="2">
        <v>7.3629999999999995E-4</v>
      </c>
      <c r="C2" t="s">
        <v>2</v>
      </c>
      <c r="E2" s="2">
        <v>1.3538464E-2</v>
      </c>
      <c r="F2" s="2">
        <f>ABS($A2-E2)/$A2</f>
        <v>0.10165198004034395</v>
      </c>
      <c r="G2" s="2">
        <v>1.4883415000000001E-2</v>
      </c>
      <c r="H2" s="2">
        <f>ABS($A2-G2)/$A2</f>
        <v>1.240743444102339E-2</v>
      </c>
      <c r="I2" s="2">
        <v>1.4988906201370699E-2</v>
      </c>
      <c r="J2" s="2">
        <f>ABS($A2-I2)/$A2</f>
        <v>5.4075405184533945E-3</v>
      </c>
      <c r="K2" s="2">
        <v>1.35836792586095E-2</v>
      </c>
      <c r="L2" s="2">
        <f>ABS($A2-K2)/$A2</f>
        <v>9.8651710730338932E-2</v>
      </c>
      <c r="M2" s="2">
        <v>1.2852368507479299E-2</v>
      </c>
      <c r="N2" s="2">
        <f>ABS($A2-M2)/$A2</f>
        <v>0.14717801070447367</v>
      </c>
      <c r="O2">
        <v>1.4808652658091601E-2</v>
      </c>
      <c r="P2" s="6">
        <v>1.34004670393532E-2</v>
      </c>
      <c r="Q2" s="5">
        <f>P2/A2</f>
        <v>0.88919119859812623</v>
      </c>
    </row>
    <row r="3" spans="1:19" x14ac:dyDescent="0.3">
      <c r="A3" s="1">
        <v>1.2487699999999999E-2</v>
      </c>
      <c r="B3" s="2">
        <v>1.2657E-3</v>
      </c>
      <c r="C3" t="s">
        <v>3</v>
      </c>
      <c r="E3" s="2">
        <v>1.5839208E-2</v>
      </c>
      <c r="F3" s="2">
        <f t="shared" ref="F3:H44" si="0">ABS($A3-E3)/$A3</f>
        <v>0.26838473057488582</v>
      </c>
      <c r="G3" s="2">
        <v>1.7025544E-2</v>
      </c>
      <c r="H3" s="2">
        <f t="shared" si="0"/>
        <v>0.36338509092947469</v>
      </c>
      <c r="I3" s="2">
        <v>1.0958300456386299E-2</v>
      </c>
      <c r="J3" s="2">
        <f t="shared" ref="J3:N3" si="1">ABS($A3-I3)/$A3</f>
        <v>0.12247247640587938</v>
      </c>
      <c r="K3" s="2">
        <v>1.64220406501835E-2</v>
      </c>
      <c r="L3" s="2">
        <f t="shared" si="1"/>
        <v>0.31505726836675296</v>
      </c>
      <c r="M3" s="2">
        <v>1.3892454004317699E-2</v>
      </c>
      <c r="N3" s="2">
        <f t="shared" si="1"/>
        <v>0.11249101150073273</v>
      </c>
      <c r="O3">
        <v>1.46973008515674E-2</v>
      </c>
      <c r="P3" s="6">
        <v>1.20140238947345E-2</v>
      </c>
      <c r="Q3" s="5">
        <f t="shared" ref="Q3:Q44" si="2">P3/A3</f>
        <v>0.96206858706843545</v>
      </c>
    </row>
    <row r="4" spans="1:19" x14ac:dyDescent="0.3">
      <c r="A4" s="1">
        <v>2.2804700000000001E-2</v>
      </c>
      <c r="B4" s="2">
        <v>1.7145999999999999E-3</v>
      </c>
      <c r="C4" t="s">
        <v>4</v>
      </c>
      <c r="E4" s="2">
        <v>1.5844078000000001E-2</v>
      </c>
      <c r="F4" s="2">
        <f t="shared" si="0"/>
        <v>0.30522751888865013</v>
      </c>
      <c r="G4" s="2">
        <v>1.7395144000000001E-2</v>
      </c>
      <c r="H4" s="2">
        <f t="shared" si="0"/>
        <v>0.23721232903743522</v>
      </c>
      <c r="I4" s="2">
        <v>2.3532817382660099E-2</v>
      </c>
      <c r="J4" s="2">
        <f t="shared" ref="J4:N4" si="3">ABS($A4-I4)/$A4</f>
        <v>3.1928391193924863E-2</v>
      </c>
      <c r="K4" s="2">
        <v>1.62740967796948E-2</v>
      </c>
      <c r="L4" s="2">
        <f t="shared" si="3"/>
        <v>0.28637093319820917</v>
      </c>
      <c r="M4" s="2">
        <v>1.3270520175630299E-2</v>
      </c>
      <c r="N4" s="2">
        <f t="shared" si="3"/>
        <v>0.41807959869543126</v>
      </c>
      <c r="O4">
        <v>1.6500853374072501E-2</v>
      </c>
      <c r="P4" s="6">
        <v>1.49156810128129E-2</v>
      </c>
      <c r="Q4" s="5">
        <f t="shared" si="2"/>
        <v>0.65406170713988343</v>
      </c>
    </row>
    <row r="5" spans="1:19" x14ac:dyDescent="0.3">
      <c r="A5" s="1">
        <v>2.1810199999999998E-2</v>
      </c>
      <c r="B5" s="2">
        <v>1.9515999999999999E-3</v>
      </c>
      <c r="C5" t="s">
        <v>5</v>
      </c>
      <c r="E5" s="2">
        <v>1.5404691999999999E-2</v>
      </c>
      <c r="F5" s="2">
        <f t="shared" si="0"/>
        <v>0.29369322610521681</v>
      </c>
      <c r="G5" s="2">
        <v>1.7146853E-2</v>
      </c>
      <c r="H5" s="2">
        <f t="shared" si="0"/>
        <v>0.2138149581388524</v>
      </c>
      <c r="I5" s="2">
        <v>2.1632267660456402E-2</v>
      </c>
      <c r="J5" s="2">
        <f t="shared" ref="J5:N5" si="4">ABS($A5-I5)/$A5</f>
        <v>8.1582167767190045E-3</v>
      </c>
      <c r="K5" s="2">
        <v>1.8750456341062201E-2</v>
      </c>
      <c r="L5" s="2">
        <f t="shared" si="4"/>
        <v>0.14028957363700456</v>
      </c>
      <c r="M5" s="2">
        <v>1.47420391927379E-2</v>
      </c>
      <c r="N5" s="2">
        <f t="shared" si="4"/>
        <v>0.32407592810987973</v>
      </c>
      <c r="O5">
        <v>1.6759328129997499E-2</v>
      </c>
      <c r="P5" s="6">
        <v>1.9959741922073001E-2</v>
      </c>
      <c r="Q5" s="5">
        <f t="shared" si="2"/>
        <v>0.9151562994412249</v>
      </c>
    </row>
    <row r="6" spans="1:19" x14ac:dyDescent="0.3">
      <c r="A6" s="1">
        <v>2.18286E-2</v>
      </c>
      <c r="B6" s="2">
        <v>2.7369E-3</v>
      </c>
      <c r="C6" t="s">
        <v>6</v>
      </c>
      <c r="E6" s="2">
        <v>1.6185540000000002E-2</v>
      </c>
      <c r="F6" s="2">
        <f t="shared" si="0"/>
        <v>0.25851680822407291</v>
      </c>
      <c r="G6" s="2">
        <v>1.7715506999999998E-2</v>
      </c>
      <c r="H6" s="2">
        <f t="shared" si="0"/>
        <v>0.18842678870839183</v>
      </c>
      <c r="I6" s="2">
        <v>1.98486701357725E-2</v>
      </c>
      <c r="J6" s="2">
        <f t="shared" ref="J6:N6" si="5">ABS($A6-I6)/$A6</f>
        <v>9.0703474534670134E-2</v>
      </c>
      <c r="K6" s="2">
        <v>1.9226821268130401E-2</v>
      </c>
      <c r="L6" s="2">
        <f t="shared" si="5"/>
        <v>0.11919127804209151</v>
      </c>
      <c r="M6" s="2">
        <v>1.4283959875675699E-2</v>
      </c>
      <c r="N6" s="2">
        <f t="shared" si="5"/>
        <v>0.34563096691149686</v>
      </c>
      <c r="O6">
        <v>1.7181920178741001E-2</v>
      </c>
      <c r="P6" s="6">
        <v>2.1388807215954202E-2</v>
      </c>
      <c r="Q6" s="5">
        <f t="shared" si="2"/>
        <v>0.97985245118579301</v>
      </c>
    </row>
    <row r="7" spans="1:19" x14ac:dyDescent="0.3">
      <c r="A7" s="1">
        <v>3.7615999999999999E-3</v>
      </c>
      <c r="B7" s="2">
        <v>7.6909999999999999E-4</v>
      </c>
      <c r="C7" t="s">
        <v>7</v>
      </c>
      <c r="E7" s="2">
        <v>6.6911740000000003E-3</v>
      </c>
      <c r="F7" s="2">
        <f t="shared" si="0"/>
        <v>0.77881061250531702</v>
      </c>
      <c r="G7" s="2">
        <v>7.6469989999999998E-3</v>
      </c>
      <c r="H7" s="2">
        <f t="shared" si="0"/>
        <v>1.0329112611654614</v>
      </c>
      <c r="I7" s="2">
        <v>4.0349334758195297E-3</v>
      </c>
      <c r="J7" s="2">
        <f t="shared" ref="J7:N7" si="6">ABS($A7-I7)/$A7</f>
        <v>7.2664152440325869E-2</v>
      </c>
      <c r="K7" s="2">
        <v>2.4798060024591299E-3</v>
      </c>
      <c r="L7" s="2">
        <f t="shared" si="6"/>
        <v>0.34075765566271538</v>
      </c>
      <c r="M7" s="2">
        <v>9.5934964530591006E-3</v>
      </c>
      <c r="N7" s="2">
        <f t="shared" si="6"/>
        <v>1.5503765560025256</v>
      </c>
      <c r="O7">
        <v>1.10132716645509E-2</v>
      </c>
      <c r="P7" s="6">
        <v>5.8684018793824597E-3</v>
      </c>
      <c r="Q7" s="5">
        <f t="shared" si="2"/>
        <v>1.5600813162969109</v>
      </c>
    </row>
    <row r="8" spans="1:19" x14ac:dyDescent="0.3">
      <c r="A8" s="1">
        <v>1.1239900000000001E-2</v>
      </c>
      <c r="B8" s="2">
        <v>1.0043000000000001E-3</v>
      </c>
      <c r="C8" t="s">
        <v>8</v>
      </c>
      <c r="E8" s="2">
        <v>1.9872204000000001E-2</v>
      </c>
      <c r="F8" s="2">
        <f t="shared" si="0"/>
        <v>0.76800540930079453</v>
      </c>
      <c r="G8" s="2">
        <v>2.0918500999999999E-2</v>
      </c>
      <c r="H8" s="2">
        <f t="shared" si="0"/>
        <v>0.86109315919180762</v>
      </c>
      <c r="I8" s="2">
        <v>1.6296373290617502E-2</v>
      </c>
      <c r="J8" s="2">
        <f t="shared" ref="J8:N8" si="7">ABS($A8-I8)/$A8</f>
        <v>0.44986817414901387</v>
      </c>
      <c r="K8" s="2">
        <v>1.74993098483909E-2</v>
      </c>
      <c r="L8" s="2">
        <f t="shared" si="7"/>
        <v>0.55689195174253325</v>
      </c>
      <c r="M8" s="2">
        <v>1.2794211182014599E-2</v>
      </c>
      <c r="N8" s="2">
        <f t="shared" si="7"/>
        <v>0.13828514328549174</v>
      </c>
      <c r="O8">
        <v>1.8021798770230701E-2</v>
      </c>
      <c r="P8" s="6">
        <v>1.0435380964892599E-2</v>
      </c>
      <c r="Q8" s="5">
        <f t="shared" si="2"/>
        <v>0.92842293658240715</v>
      </c>
    </row>
    <row r="9" spans="1:19" x14ac:dyDescent="0.3">
      <c r="A9" s="1">
        <v>1.8503499999999999E-2</v>
      </c>
      <c r="B9" s="2">
        <v>1.1364999999999999E-3</v>
      </c>
      <c r="C9" t="s">
        <v>9</v>
      </c>
      <c r="E9" s="2">
        <v>1.2568744E-2</v>
      </c>
      <c r="F9" s="2">
        <f t="shared" si="0"/>
        <v>0.32073694165968597</v>
      </c>
      <c r="G9" s="2">
        <v>1.391219E-2</v>
      </c>
      <c r="H9" s="2">
        <f t="shared" si="0"/>
        <v>0.24813197503175075</v>
      </c>
      <c r="I9" s="2">
        <v>1.0000458332465399E-2</v>
      </c>
      <c r="J9" s="2">
        <f t="shared" ref="J9:N9" si="8">ABS($A9-I9)/$A9</f>
        <v>0.45953693450074851</v>
      </c>
      <c r="K9" s="2">
        <v>1.5453733957356299E-2</v>
      </c>
      <c r="L9" s="2">
        <f t="shared" si="8"/>
        <v>0.16482103616308807</v>
      </c>
      <c r="M9" s="2">
        <v>1.3877124084363601E-2</v>
      </c>
      <c r="N9" s="2">
        <f t="shared" si="8"/>
        <v>0.25002707139927033</v>
      </c>
      <c r="O9">
        <v>1.4212878532722999E-2</v>
      </c>
      <c r="P9" s="6">
        <v>1.49553539326616E-2</v>
      </c>
      <c r="Q9" s="5">
        <f t="shared" si="2"/>
        <v>0.80824459873329912</v>
      </c>
    </row>
    <row r="10" spans="1:19" x14ac:dyDescent="0.3">
      <c r="A10" s="1">
        <v>1.8006600000000001E-2</v>
      </c>
      <c r="B10" s="2">
        <v>2.6561000000000002E-3</v>
      </c>
      <c r="C10" t="s">
        <v>10</v>
      </c>
      <c r="E10" s="2">
        <v>1.9611331999999999E-2</v>
      </c>
      <c r="F10" s="2">
        <f t="shared" si="0"/>
        <v>8.9119100774160451E-2</v>
      </c>
      <c r="G10" s="2">
        <v>2.1995687E-2</v>
      </c>
      <c r="H10" s="2">
        <f t="shared" si="0"/>
        <v>0.22153471504892641</v>
      </c>
      <c r="I10" s="2">
        <v>2.63905122424078E-2</v>
      </c>
      <c r="J10" s="2">
        <f t="shared" ref="J10:N10" si="9">ABS($A10-I10)/$A10</f>
        <v>0.4656021815560849</v>
      </c>
      <c r="K10" s="2">
        <v>2.07580619915168E-2</v>
      </c>
      <c r="L10" s="2">
        <f t="shared" si="9"/>
        <v>0.15280297177239452</v>
      </c>
      <c r="M10" s="2">
        <v>2.56578549129249E-2</v>
      </c>
      <c r="N10" s="2">
        <f t="shared" si="9"/>
        <v>0.4249139156156575</v>
      </c>
      <c r="O10">
        <v>1.45820503150923E-2</v>
      </c>
      <c r="P10" s="6">
        <v>3.4815408029805803E-2</v>
      </c>
      <c r="Q10" s="5">
        <f t="shared" si="2"/>
        <v>1.9334803921787456</v>
      </c>
    </row>
    <row r="11" spans="1:19" x14ac:dyDescent="0.3">
      <c r="A11" s="1">
        <v>1.4979900000000001E-2</v>
      </c>
      <c r="B11" s="2">
        <v>1.0068E-3</v>
      </c>
      <c r="C11" t="s">
        <v>11</v>
      </c>
      <c r="E11" s="2">
        <v>1.5289827000000001E-2</v>
      </c>
      <c r="F11" s="2">
        <f t="shared" si="0"/>
        <v>2.068952396210921E-2</v>
      </c>
      <c r="G11" s="2">
        <v>1.6546688E-2</v>
      </c>
      <c r="H11" s="2">
        <f t="shared" si="0"/>
        <v>0.10459268753462971</v>
      </c>
      <c r="I11" s="2">
        <v>1.8696928646370198E-2</v>
      </c>
      <c r="J11" s="2">
        <f t="shared" ref="J11:N11" si="10">ABS($A11-I11)/$A11</f>
        <v>0.24813440986723526</v>
      </c>
      <c r="K11" s="2">
        <v>1.6233582778716098E-2</v>
      </c>
      <c r="L11" s="2">
        <f t="shared" si="10"/>
        <v>8.3690997851527546E-2</v>
      </c>
      <c r="M11" s="2">
        <v>1.2288428558294E-2</v>
      </c>
      <c r="N11" s="2">
        <f t="shared" si="10"/>
        <v>0.17967219018191047</v>
      </c>
      <c r="O11">
        <v>1.53698803723866E-2</v>
      </c>
      <c r="P11" s="6">
        <v>9.5260047880974408E-3</v>
      </c>
      <c r="Q11" s="5">
        <f t="shared" si="2"/>
        <v>0.63591911749060004</v>
      </c>
    </row>
    <row r="12" spans="1:19" ht="15" thickBot="1" x14ac:dyDescent="0.35">
      <c r="A12" s="11">
        <v>1.5173900000000001E-2</v>
      </c>
      <c r="B12" s="12">
        <v>1.1087E-3</v>
      </c>
      <c r="C12" s="13" t="s">
        <v>12</v>
      </c>
      <c r="D12" s="13"/>
      <c r="E12" s="12">
        <v>1.7383118999999999E-2</v>
      </c>
      <c r="F12" s="12">
        <f t="shared" si="0"/>
        <v>0.14559335437824147</v>
      </c>
      <c r="G12" s="12">
        <v>1.8915082999999999E-2</v>
      </c>
      <c r="H12" s="12">
        <f t="shared" si="0"/>
        <v>0.24655381938723719</v>
      </c>
      <c r="I12" s="12">
        <v>1.73223347396925E-2</v>
      </c>
      <c r="J12" s="12">
        <f t="shared" ref="J12:N12" si="11">ABS($A12-I12)/$A12</f>
        <v>0.14158751143031781</v>
      </c>
      <c r="K12" s="12">
        <v>1.7729813223029099E-2</v>
      </c>
      <c r="L12" s="12">
        <f t="shared" si="11"/>
        <v>0.16844141736989821</v>
      </c>
      <c r="M12" s="12">
        <v>1.5934946095379501E-2</v>
      </c>
      <c r="N12" s="12">
        <f t="shared" si="11"/>
        <v>5.0154943381694933E-2</v>
      </c>
      <c r="O12" s="13">
        <v>1.68985921233261E-2</v>
      </c>
      <c r="P12" s="14">
        <v>1.9994664978243499E-2</v>
      </c>
      <c r="Q12" s="15">
        <f t="shared" si="2"/>
        <v>1.3177011169339128</v>
      </c>
    </row>
    <row r="13" spans="1:19" ht="15" thickTop="1" x14ac:dyDescent="0.3">
      <c r="A13" s="7">
        <v>1.5966597999999999E-2</v>
      </c>
      <c r="B13" s="8">
        <v>5.2387899999999999E-4</v>
      </c>
      <c r="C13" s="4" t="s">
        <v>13</v>
      </c>
      <c r="D13" s="4"/>
      <c r="E13" s="8">
        <v>1.74804E-3</v>
      </c>
      <c r="F13" s="8">
        <f t="shared" si="0"/>
        <v>0.89051894461174508</v>
      </c>
      <c r="G13" s="8">
        <v>1.9588420000000001E-3</v>
      </c>
      <c r="H13" s="8">
        <f t="shared" si="0"/>
        <v>0.87731625735175389</v>
      </c>
      <c r="I13" s="8">
        <v>2.1120258953861702E-3</v>
      </c>
      <c r="J13" s="8">
        <f t="shared" ref="J13:N13" si="12">ABS($A13-I13)/$A13</f>
        <v>0.86772223516956026</v>
      </c>
      <c r="K13" s="8">
        <v>1.70499830068902E-3</v>
      </c>
      <c r="L13" s="8">
        <f t="shared" si="12"/>
        <v>0.89321467850014014</v>
      </c>
      <c r="M13" s="8">
        <v>1.3778185988381601E-2</v>
      </c>
      <c r="N13" s="8">
        <f t="shared" si="12"/>
        <v>0.13706188454286869</v>
      </c>
      <c r="O13" s="4">
        <v>2.0977467207584201E-3</v>
      </c>
      <c r="P13" s="9">
        <v>1.43623180909588E-2</v>
      </c>
      <c r="Q13" s="10">
        <f t="shared" si="2"/>
        <v>0.89952274685933731</v>
      </c>
    </row>
    <row r="14" spans="1:19" x14ac:dyDescent="0.3">
      <c r="A14" s="1">
        <v>-0.31249939999999998</v>
      </c>
      <c r="B14" s="2">
        <v>5.6467799999999999E-2</v>
      </c>
      <c r="C14" t="s">
        <v>3</v>
      </c>
      <c r="E14" s="2">
        <v>0.18454680500000001</v>
      </c>
      <c r="F14" s="2">
        <f t="shared" si="0"/>
        <v>-1.5905509098577468</v>
      </c>
      <c r="G14" s="2">
        <v>0.152500837</v>
      </c>
      <c r="H14" s="2">
        <f t="shared" si="0"/>
        <v>-1.4880036153669416</v>
      </c>
      <c r="I14" s="2">
        <v>-7.56540762538397E-2</v>
      </c>
      <c r="J14" s="2">
        <f t="shared" ref="J14:N14" si="13">ABS($A14-I14)/$A14</f>
        <v>-0.75790649116817599</v>
      </c>
      <c r="K14" s="2">
        <v>0.23194672621691201</v>
      </c>
      <c r="L14" s="2">
        <f t="shared" si="13"/>
        <v>-1.7422309489775405</v>
      </c>
      <c r="M14" s="2">
        <v>0.113144651841695</v>
      </c>
      <c r="N14" s="2">
        <f t="shared" si="13"/>
        <v>-1.3620635810554995</v>
      </c>
      <c r="O14">
        <v>-3.3579176491070097E-2</v>
      </c>
      <c r="P14" s="6">
        <v>-7.7631798889684897E-2</v>
      </c>
      <c r="Q14" s="5">
        <f t="shared" si="2"/>
        <v>0.24842223341767986</v>
      </c>
    </row>
    <row r="15" spans="1:19" x14ac:dyDescent="0.3">
      <c r="A15" s="1">
        <v>0.16671269999999999</v>
      </c>
      <c r="B15" s="2">
        <v>6.3020199999999998E-2</v>
      </c>
      <c r="C15" t="s">
        <v>4</v>
      </c>
      <c r="E15" s="2">
        <v>0.186023831</v>
      </c>
      <c r="F15" s="2">
        <f t="shared" si="0"/>
        <v>0.1158347924303308</v>
      </c>
      <c r="G15" s="2">
        <v>0.19941914599999999</v>
      </c>
      <c r="H15" s="2">
        <f t="shared" si="0"/>
        <v>0.19618448984390513</v>
      </c>
      <c r="I15" s="2">
        <v>0.19436833027388101</v>
      </c>
      <c r="J15" s="2">
        <f t="shared" ref="J15:N15" si="14">ABS($A15-I15)/$A15</f>
        <v>0.1658879633877984</v>
      </c>
      <c r="K15" s="2">
        <v>0.22165680598394299</v>
      </c>
      <c r="L15" s="2">
        <f t="shared" si="14"/>
        <v>0.32957360767321869</v>
      </c>
      <c r="M15" s="2">
        <v>2.2919882840282301E-2</v>
      </c>
      <c r="N15" s="2">
        <f t="shared" si="14"/>
        <v>0.86251867530018833</v>
      </c>
      <c r="O15">
        <v>-7.4481780417408397E-3</v>
      </c>
      <c r="P15" s="6">
        <v>0.12859993729624</v>
      </c>
      <c r="Q15" s="5">
        <f t="shared" si="2"/>
        <v>0.7713865668076878</v>
      </c>
    </row>
    <row r="16" spans="1:19" x14ac:dyDescent="0.3">
      <c r="A16" s="1">
        <v>0.10679660000000001</v>
      </c>
      <c r="B16" s="2">
        <v>7.2750099999999998E-2</v>
      </c>
      <c r="C16" t="s">
        <v>5</v>
      </c>
      <c r="E16" s="2">
        <v>0.148568283</v>
      </c>
      <c r="F16" s="2">
        <f t="shared" si="0"/>
        <v>0.39113307914296885</v>
      </c>
      <c r="G16" s="2">
        <v>0.183796341</v>
      </c>
      <c r="H16" s="2">
        <f t="shared" si="0"/>
        <v>0.72099431068030251</v>
      </c>
      <c r="I16" s="2">
        <v>0.100513662743124</v>
      </c>
      <c r="J16" s="2">
        <f t="shared" ref="J16:N16" si="15">ABS($A16-I16)/$A16</f>
        <v>5.8830873425521117E-2</v>
      </c>
      <c r="K16" s="2">
        <v>0.51945944975005598</v>
      </c>
      <c r="L16" s="2">
        <f t="shared" si="15"/>
        <v>3.8640073724262378</v>
      </c>
      <c r="M16" s="2">
        <v>0.18537830950520001</v>
      </c>
      <c r="N16" s="2">
        <f t="shared" si="15"/>
        <v>0.73580722143963384</v>
      </c>
      <c r="O16">
        <v>2.10592629551337E-3</v>
      </c>
      <c r="P16" s="6">
        <v>0.44967320265265398</v>
      </c>
      <c r="Q16" s="5">
        <f t="shared" si="2"/>
        <v>4.2105572897700299</v>
      </c>
    </row>
    <row r="17" spans="1:17" x14ac:dyDescent="0.3">
      <c r="A17" s="1">
        <v>0.1815447</v>
      </c>
      <c r="B17" s="2">
        <v>0.1060873</v>
      </c>
      <c r="C17" t="s">
        <v>6</v>
      </c>
      <c r="E17" s="2">
        <v>0.20857066699999999</v>
      </c>
      <c r="F17" s="2">
        <f t="shared" si="0"/>
        <v>0.14886673640155831</v>
      </c>
      <c r="G17" s="2">
        <v>0.21674346899999999</v>
      </c>
      <c r="H17" s="2">
        <f t="shared" si="0"/>
        <v>0.19388486141429626</v>
      </c>
      <c r="I17" s="2">
        <v>7.7768602219491001E-2</v>
      </c>
      <c r="J17" s="2">
        <f t="shared" ref="J17:N17" si="16">ABS($A17-I17)/$A17</f>
        <v>0.57162835257933176</v>
      </c>
      <c r="K17" s="2">
        <v>0.54236763286224599</v>
      </c>
      <c r="L17" s="2">
        <f t="shared" si="16"/>
        <v>1.9875156524109268</v>
      </c>
      <c r="M17" s="2">
        <v>0.14498624737305399</v>
      </c>
      <c r="N17" s="2">
        <f t="shared" si="16"/>
        <v>0.20137438673200603</v>
      </c>
      <c r="O17">
        <v>5.3134728392088201E-3</v>
      </c>
      <c r="P17" s="6">
        <v>0.53396040323879701</v>
      </c>
      <c r="Q17" s="5">
        <f t="shared" si="2"/>
        <v>2.9412062331690048</v>
      </c>
    </row>
    <row r="18" spans="1:17" x14ac:dyDescent="0.3">
      <c r="A18" s="1">
        <v>-0.56103720000000001</v>
      </c>
      <c r="B18" s="2">
        <v>0.104117</v>
      </c>
      <c r="C18" t="s">
        <v>7</v>
      </c>
      <c r="E18" s="2">
        <v>-0.54820004600000005</v>
      </c>
      <c r="F18" s="2">
        <f t="shared" si="0"/>
        <v>-2.2881110200892136E-2</v>
      </c>
      <c r="G18" s="2">
        <v>-0.55695892199999997</v>
      </c>
      <c r="H18" s="2">
        <f t="shared" si="0"/>
        <v>-7.2691757338016914E-3</v>
      </c>
      <c r="I18" s="2">
        <v>-0.21873685536312401</v>
      </c>
      <c r="J18" s="2">
        <f t="shared" ref="J18:N18" si="17">ABS($A18-I18)/$A18</f>
        <v>-0.61012058493960108</v>
      </c>
      <c r="K18" s="2">
        <v>-1.0048799582185</v>
      </c>
      <c r="L18" s="2">
        <f t="shared" si="17"/>
        <v>-0.79111110318264088</v>
      </c>
      <c r="M18" s="2">
        <v>-0.31400977343675301</v>
      </c>
      <c r="N18" s="2">
        <f t="shared" si="17"/>
        <v>-0.44030489700726971</v>
      </c>
      <c r="O18" s="3">
        <v>3.74189349653846E-2</v>
      </c>
      <c r="P18" s="6">
        <v>-0.55366856961884503</v>
      </c>
      <c r="Q18" s="5">
        <f t="shared" si="2"/>
        <v>0.98686605740019562</v>
      </c>
    </row>
    <row r="19" spans="1:17" x14ac:dyDescent="0.3">
      <c r="A19" s="1">
        <v>-5.9391600000000003E-2</v>
      </c>
      <c r="B19" s="2">
        <v>5.51595E-2</v>
      </c>
      <c r="C19" t="s">
        <v>8</v>
      </c>
      <c r="E19" s="2">
        <v>0.453973136</v>
      </c>
      <c r="F19" s="2">
        <f t="shared" si="0"/>
        <v>-8.6437263181998798</v>
      </c>
      <c r="G19" s="2">
        <v>0.40224143499999998</v>
      </c>
      <c r="H19" s="2">
        <f t="shared" si="0"/>
        <v>-7.7726990853925466</v>
      </c>
      <c r="I19" s="2">
        <v>5.35740312644004E-3</v>
      </c>
      <c r="J19" s="2">
        <f t="shared" ref="J19:N19" si="18">ABS($A19-I19)/$A19</f>
        <v>-1.0902047280497584</v>
      </c>
      <c r="K19" s="2">
        <v>0.264394775173104</v>
      </c>
      <c r="L19" s="2">
        <f t="shared" si="18"/>
        <v>-5.4517200272951722</v>
      </c>
      <c r="M19" s="2">
        <v>-0.10127054018966999</v>
      </c>
      <c r="N19" s="2">
        <f t="shared" si="18"/>
        <v>-0.70513237881569091</v>
      </c>
      <c r="O19">
        <v>4.1113219059614303E-3</v>
      </c>
      <c r="P19" s="6">
        <v>-0.28205228514179298</v>
      </c>
      <c r="Q19" s="5">
        <f t="shared" si="2"/>
        <v>4.7490265482289242</v>
      </c>
    </row>
    <row r="20" spans="1:17" x14ac:dyDescent="0.3">
      <c r="A20" s="1">
        <v>-9.5940000000000001E-4</v>
      </c>
      <c r="B20" s="2">
        <v>4.8517200000000003E-2</v>
      </c>
      <c r="C20" t="s">
        <v>9</v>
      </c>
      <c r="E20" s="2">
        <v>-0.135626519</v>
      </c>
      <c r="F20" s="2">
        <f t="shared" si="0"/>
        <v>-140.36597769439234</v>
      </c>
      <c r="G20" s="2">
        <v>-0.14439806999999999</v>
      </c>
      <c r="H20" s="2">
        <f t="shared" si="0"/>
        <v>-149.50872420262664</v>
      </c>
      <c r="I20" s="2">
        <v>-0.12805146512239399</v>
      </c>
      <c r="J20" s="2">
        <f t="shared" ref="J20:N20" si="19">ABS($A20-I20)/$A20</f>
        <v>-132.47036181195955</v>
      </c>
      <c r="K20" s="2">
        <v>7.4367335482334304E-2</v>
      </c>
      <c r="L20" s="2">
        <f t="shared" si="19"/>
        <v>-78.51442097387357</v>
      </c>
      <c r="M20" s="2">
        <v>0.104231348430933</v>
      </c>
      <c r="N20" s="2">
        <f t="shared" si="19"/>
        <v>-109.64222267139149</v>
      </c>
      <c r="O20">
        <v>-4.8125831945000697E-2</v>
      </c>
      <c r="P20" s="6">
        <v>0.146453784126961</v>
      </c>
      <c r="Q20" s="5">
        <f t="shared" si="2"/>
        <v>-152.65143227742442</v>
      </c>
    </row>
    <row r="21" spans="1:17" x14ac:dyDescent="0.3">
      <c r="A21" s="1">
        <v>0.25457999999999997</v>
      </c>
      <c r="B21" s="2">
        <v>0.14293819999999999</v>
      </c>
      <c r="C21" t="s">
        <v>10</v>
      </c>
      <c r="E21" s="2">
        <v>0.87043617500000003</v>
      </c>
      <c r="F21" s="2">
        <f t="shared" si="0"/>
        <v>2.4191066658810594</v>
      </c>
      <c r="G21" s="2">
        <v>0.94289255800000005</v>
      </c>
      <c r="H21" s="2">
        <f t="shared" si="0"/>
        <v>2.7037181161128134</v>
      </c>
      <c r="I21" s="2">
        <v>0.32858443408846999</v>
      </c>
      <c r="J21" s="2">
        <f t="shared" ref="J21:N21" si="20">ABS($A21-I21)/$A21</f>
        <v>0.29069225425591178</v>
      </c>
      <c r="K21" s="2">
        <v>0.91678802007485505</v>
      </c>
      <c r="L21" s="2">
        <f t="shared" si="20"/>
        <v>2.6011784903560966</v>
      </c>
      <c r="M21" s="2">
        <v>1.8013262897098801</v>
      </c>
      <c r="N21" s="2">
        <f t="shared" si="20"/>
        <v>6.0756787246047619</v>
      </c>
      <c r="O21">
        <v>7.8887927840004708E-3</v>
      </c>
      <c r="P21" s="6">
        <v>2.0890081775635898</v>
      </c>
      <c r="Q21" s="5">
        <f t="shared" si="2"/>
        <v>8.205704209142862</v>
      </c>
    </row>
    <row r="22" spans="1:17" x14ac:dyDescent="0.3">
      <c r="A22" s="1">
        <v>-5.2656300000000003E-2</v>
      </c>
      <c r="B22" s="2">
        <v>4.6886700000000003E-2</v>
      </c>
      <c r="C22" t="s">
        <v>11</v>
      </c>
      <c r="E22" s="2">
        <v>0.107808575</v>
      </c>
      <c r="F22" s="2">
        <f t="shared" si="0"/>
        <v>-3.0474012606278831</v>
      </c>
      <c r="G22" s="2">
        <v>9.0153087000000007E-2</v>
      </c>
      <c r="H22" s="2">
        <f t="shared" si="0"/>
        <v>-2.7121044775269056</v>
      </c>
      <c r="I22" s="2">
        <v>0.100379986565479</v>
      </c>
      <c r="J22" s="2">
        <f t="shared" ref="J22:N22" si="21">ABS($A22-I22)/$A22</f>
        <v>-2.9063243441996307</v>
      </c>
      <c r="K22" s="2">
        <v>0.194445182207553</v>
      </c>
      <c r="L22" s="2">
        <f t="shared" si="21"/>
        <v>-4.6927239894856454</v>
      </c>
      <c r="M22" s="2">
        <v>-0.12601176911775799</v>
      </c>
      <c r="N22" s="2">
        <f t="shared" si="21"/>
        <v>-1.3930995743673213</v>
      </c>
      <c r="O22">
        <v>-2.8113265375821098E-2</v>
      </c>
      <c r="P22" s="6">
        <v>-0.32736473530134103</v>
      </c>
      <c r="Q22" s="5">
        <f t="shared" si="2"/>
        <v>6.2170098412030663</v>
      </c>
    </row>
    <row r="23" spans="1:17" ht="15" thickBot="1" x14ac:dyDescent="0.35">
      <c r="A23" s="11">
        <v>4.72425E-2</v>
      </c>
      <c r="B23" s="12">
        <v>5.0697199999999998E-2</v>
      </c>
      <c r="C23" s="13" t="s">
        <v>12</v>
      </c>
      <c r="D23" s="13"/>
      <c r="E23" s="12">
        <v>0.330513522</v>
      </c>
      <c r="F23" s="12">
        <f t="shared" si="0"/>
        <v>5.9961056675662796</v>
      </c>
      <c r="G23" s="12">
        <v>0.32949282600000002</v>
      </c>
      <c r="H23" s="12">
        <f t="shared" si="0"/>
        <v>5.9745002063819657</v>
      </c>
      <c r="I23" s="12">
        <v>2.78878202531418E-2</v>
      </c>
      <c r="J23" s="12">
        <f t="shared" ref="J23:N23" si="22">ABS($A23-I23)/$A23</f>
        <v>0.40968788160783615</v>
      </c>
      <c r="K23" s="12">
        <v>0.35698002395565098</v>
      </c>
      <c r="L23" s="12">
        <f t="shared" si="22"/>
        <v>6.5563321999396935</v>
      </c>
      <c r="M23" s="12">
        <v>0.368310060691454</v>
      </c>
      <c r="N23" s="12">
        <f t="shared" si="22"/>
        <v>6.796159405015695</v>
      </c>
      <c r="O23" s="13">
        <v>-3.9821234970464301E-4</v>
      </c>
      <c r="P23" s="14">
        <v>0.56267670483890897</v>
      </c>
      <c r="Q23" s="15">
        <f t="shared" si="2"/>
        <v>11.910392228161273</v>
      </c>
    </row>
    <row r="24" spans="1:17" ht="15" thickTop="1" x14ac:dyDescent="0.3">
      <c r="A24" s="7">
        <v>1.5424054E-2</v>
      </c>
      <c r="B24" s="8">
        <v>5.4775699999999995E-4</v>
      </c>
      <c r="C24" s="4" t="s">
        <v>14</v>
      </c>
      <c r="D24" s="4"/>
      <c r="E24" s="8">
        <v>8.0931059999999992E-3</v>
      </c>
      <c r="F24" s="8">
        <f t="shared" si="0"/>
        <v>0.47529320112598156</v>
      </c>
      <c r="G24" s="8">
        <v>1.3011991000000001E-2</v>
      </c>
      <c r="H24" s="8">
        <f t="shared" si="0"/>
        <v>0.15638320508991987</v>
      </c>
      <c r="I24" s="8">
        <v>1.2004106708371299E-15</v>
      </c>
      <c r="J24" s="8">
        <f t="shared" ref="J24:N24" si="23">ABS($A24-I24)/$A24</f>
        <v>0.99999999999992217</v>
      </c>
      <c r="K24" s="8">
        <v>1.99157414679301E-15</v>
      </c>
      <c r="L24" s="8">
        <f t="shared" si="23"/>
        <v>0.99999999999987088</v>
      </c>
      <c r="M24" s="8">
        <v>1.56507284737584E-2</v>
      </c>
      <c r="N24" s="8">
        <f t="shared" si="23"/>
        <v>1.4696167023170446E-2</v>
      </c>
      <c r="O24" s="16">
        <v>2.72599816825264E-10</v>
      </c>
      <c r="P24" s="9">
        <v>1.87741727177815E-2</v>
      </c>
      <c r="Q24" s="10">
        <f t="shared" si="2"/>
        <v>1.2172009199255591</v>
      </c>
    </row>
    <row r="25" spans="1:17" x14ac:dyDescent="0.3">
      <c r="A25" s="1">
        <v>-4.7919299999999998E-2</v>
      </c>
      <c r="B25" s="2">
        <v>1.8153300000000001E-2</v>
      </c>
      <c r="C25" t="s">
        <v>3</v>
      </c>
      <c r="E25" s="2">
        <v>-0.14869882800000001</v>
      </c>
      <c r="F25" s="2">
        <f t="shared" si="0"/>
        <v>-2.1031093525990574</v>
      </c>
      <c r="G25" s="2">
        <v>0.234885238</v>
      </c>
      <c r="H25" s="2">
        <f t="shared" si="0"/>
        <v>-5.9016834135724023</v>
      </c>
      <c r="I25" s="2">
        <v>-3.3510905144432002E-2</v>
      </c>
      <c r="J25" s="2">
        <f t="shared" ref="J25:N25" si="24">ABS($A25-I25)/$A25</f>
        <v>-0.30068041176661592</v>
      </c>
      <c r="K25" s="2">
        <v>-3.0213116443347902E-2</v>
      </c>
      <c r="L25" s="2">
        <f t="shared" si="24"/>
        <v>-0.36950004604933911</v>
      </c>
      <c r="M25" s="2">
        <v>0.15924627485972501</v>
      </c>
      <c r="N25" s="2">
        <f t="shared" si="24"/>
        <v>-4.3232178863156392</v>
      </c>
      <c r="O25">
        <v>-2.06362883098552E-2</v>
      </c>
      <c r="P25" s="6">
        <v>-8.8673385584683906E-2</v>
      </c>
      <c r="Q25" s="5">
        <f t="shared" si="2"/>
        <v>1.8504733079298719</v>
      </c>
    </row>
    <row r="26" spans="1:17" x14ac:dyDescent="0.3">
      <c r="A26" s="1">
        <v>3.2961499999999998E-2</v>
      </c>
      <c r="B26" s="2">
        <v>1.9970399999999999E-2</v>
      </c>
      <c r="C26" t="s">
        <v>4</v>
      </c>
      <c r="E26" s="2">
        <v>-0.30336916800000002</v>
      </c>
      <c r="F26" s="2">
        <f t="shared" si="0"/>
        <v>10.203742790831729</v>
      </c>
      <c r="G26" s="2">
        <v>-0.41324068000000003</v>
      </c>
      <c r="H26" s="2">
        <f t="shared" si="0"/>
        <v>13.537071431821975</v>
      </c>
      <c r="I26" s="2">
        <v>-3.3512968441706197E-2</v>
      </c>
      <c r="J26" s="2">
        <f t="shared" ref="J26:N26" si="25">ABS($A26-I26)/$A26</f>
        <v>2.016730684031558</v>
      </c>
      <c r="K26" s="2">
        <v>-3.0213116443347902E-2</v>
      </c>
      <c r="L26" s="2">
        <f t="shared" si="25"/>
        <v>1.9166183712315248</v>
      </c>
      <c r="M26" s="2">
        <v>6.3364513043177195E-2</v>
      </c>
      <c r="N26" s="2">
        <f t="shared" si="25"/>
        <v>0.92237953500833392</v>
      </c>
      <c r="O26">
        <v>-2.06362883095479E-2</v>
      </c>
      <c r="P26" s="6">
        <v>-3.6889975344055498E-2</v>
      </c>
      <c r="Q26" s="5">
        <f t="shared" si="2"/>
        <v>-1.1191837551099162</v>
      </c>
    </row>
    <row r="27" spans="1:17" x14ac:dyDescent="0.3">
      <c r="A27" s="1">
        <v>5.0063400000000001E-2</v>
      </c>
      <c r="B27" s="2">
        <v>2.3938999999999998E-2</v>
      </c>
      <c r="C27" t="s">
        <v>5</v>
      </c>
      <c r="E27" s="2">
        <v>6.1245274000000002E-2</v>
      </c>
      <c r="F27" s="2">
        <f t="shared" si="0"/>
        <v>0.22335426678971068</v>
      </c>
      <c r="G27" s="2">
        <v>-0.35826445499999998</v>
      </c>
      <c r="H27" s="2">
        <f t="shared" si="0"/>
        <v>8.1562150193554572</v>
      </c>
      <c r="I27" s="2">
        <v>-3.3512968441706197E-2</v>
      </c>
      <c r="J27" s="2">
        <f t="shared" ref="J27:N27" si="26">ABS($A27-I27)/$A27</f>
        <v>1.6694105562488004</v>
      </c>
      <c r="K27" s="2">
        <v>-3.0213116443347902E-2</v>
      </c>
      <c r="L27" s="2">
        <f t="shared" si="26"/>
        <v>1.6034970945510674</v>
      </c>
      <c r="M27" s="2">
        <v>-0.246671281259496</v>
      </c>
      <c r="N27" s="2">
        <f t="shared" si="26"/>
        <v>5.9271779635321611</v>
      </c>
      <c r="O27">
        <v>-2.0636288309838401E-2</v>
      </c>
      <c r="P27" s="6">
        <v>0.23944369481667799</v>
      </c>
      <c r="Q27" s="5">
        <f t="shared" si="2"/>
        <v>4.7828092941485796</v>
      </c>
    </row>
    <row r="28" spans="1:17" x14ac:dyDescent="0.3">
      <c r="A28" s="1">
        <v>-3.43322E-2</v>
      </c>
      <c r="B28" s="2">
        <v>3.1987300000000003E-2</v>
      </c>
      <c r="C28" t="s">
        <v>6</v>
      </c>
      <c r="E28" s="2">
        <v>-0.33209070000000002</v>
      </c>
      <c r="F28" s="2">
        <f t="shared" si="0"/>
        <v>-8.6728639586161105</v>
      </c>
      <c r="G28" s="2">
        <v>-0.40155872100000001</v>
      </c>
      <c r="H28" s="2">
        <f t="shared" si="0"/>
        <v>-10.696271168174484</v>
      </c>
      <c r="I28" s="2">
        <v>-3.3512968441706197E-2</v>
      </c>
      <c r="J28" s="2">
        <f t="shared" ref="J28:N28" si="27">ABS($A28-I28)/$A28</f>
        <v>-2.3861901022765909E-2</v>
      </c>
      <c r="K28" s="2">
        <v>-3.0213116443347902E-2</v>
      </c>
      <c r="L28" s="2">
        <f t="shared" si="27"/>
        <v>-0.11997726788997205</v>
      </c>
      <c r="M28" s="2">
        <v>0.36218206043330498</v>
      </c>
      <c r="N28" s="2">
        <f t="shared" si="27"/>
        <v>-11.549340282105574</v>
      </c>
      <c r="O28">
        <v>-2.0636288309854801E-2</v>
      </c>
      <c r="P28" s="6">
        <v>-5.7295151532230901E-2</v>
      </c>
      <c r="Q28" s="5">
        <f t="shared" si="2"/>
        <v>1.6688459094445127</v>
      </c>
    </row>
    <row r="29" spans="1:17" x14ac:dyDescent="0.3">
      <c r="A29" s="1">
        <v>-7.9668600000000006E-2</v>
      </c>
      <c r="B29" s="2">
        <v>0.1028567</v>
      </c>
      <c r="C29" t="s">
        <v>7</v>
      </c>
      <c r="E29" s="2">
        <v>0.53423992300000001</v>
      </c>
      <c r="F29" s="2">
        <f t="shared" si="0"/>
        <v>-7.7057777217121917</v>
      </c>
      <c r="G29" s="2">
        <v>0.57611597199999998</v>
      </c>
      <c r="H29" s="2">
        <f t="shared" si="0"/>
        <v>-8.2314057483123833</v>
      </c>
      <c r="I29" s="2">
        <v>0.102121929631242</v>
      </c>
      <c r="J29" s="2">
        <f t="shared" ref="J29:N29" si="28">ABS($A29-I29)/$A29</f>
        <v>-2.281834118225273</v>
      </c>
      <c r="K29" s="2">
        <v>9.2068342545029699E-2</v>
      </c>
      <c r="L29" s="2">
        <f t="shared" si="28"/>
        <v>-2.1556415268377966</v>
      </c>
      <c r="M29" s="2">
        <v>-0.18649755163413501</v>
      </c>
      <c r="N29" s="2">
        <f t="shared" si="28"/>
        <v>-1.3409166426187356</v>
      </c>
      <c r="O29">
        <v>6.2884901811520899E-2</v>
      </c>
      <c r="P29" s="6">
        <v>-1.6527011941344101E-2</v>
      </c>
      <c r="Q29" s="5">
        <f t="shared" si="2"/>
        <v>0.20744699845791315</v>
      </c>
    </row>
    <row r="30" spans="1:17" x14ac:dyDescent="0.3">
      <c r="A30" s="1">
        <v>-6.8056400000000003E-2</v>
      </c>
      <c r="B30" s="2">
        <v>1.6313999999999999E-2</v>
      </c>
      <c r="C30" t="s">
        <v>8</v>
      </c>
      <c r="E30" s="2">
        <v>-0.33500321500000002</v>
      </c>
      <c r="F30" s="2">
        <f t="shared" si="0"/>
        <v>-3.9224351420292578</v>
      </c>
      <c r="G30" s="2">
        <v>-0.34532895899999999</v>
      </c>
      <c r="H30" s="2">
        <f t="shared" si="0"/>
        <v>-4.0741584773805251</v>
      </c>
      <c r="I30" s="2">
        <v>-3.3510182374834198E-2</v>
      </c>
      <c r="J30" s="2">
        <f t="shared" ref="J30:N30" si="29">ABS($A30-I30)/$A30</f>
        <v>-0.50761159310756676</v>
      </c>
      <c r="K30" s="2">
        <v>-3.0213116443347902E-2</v>
      </c>
      <c r="L30" s="2">
        <f t="shared" si="29"/>
        <v>-0.55605767505557302</v>
      </c>
      <c r="M30" s="2">
        <v>-0.30899872390437799</v>
      </c>
      <c r="N30" s="2">
        <f t="shared" si="29"/>
        <v>-3.5403330752784155</v>
      </c>
      <c r="O30">
        <v>-2.06362883098552E-2</v>
      </c>
      <c r="P30" s="6">
        <v>-0.24540204719380901</v>
      </c>
      <c r="Q30" s="5">
        <f t="shared" si="2"/>
        <v>3.605862890100108</v>
      </c>
    </row>
    <row r="31" spans="1:17" x14ac:dyDescent="0.3">
      <c r="A31" s="1">
        <v>4.6998100000000001E-2</v>
      </c>
      <c r="B31" s="2">
        <v>1.59404E-2</v>
      </c>
      <c r="C31" t="s">
        <v>9</v>
      </c>
      <c r="E31" s="2">
        <v>-0.33500321500000002</v>
      </c>
      <c r="F31" s="2">
        <f t="shared" si="0"/>
        <v>8.1280161325670619</v>
      </c>
      <c r="G31" s="2">
        <v>-7.4483715000000006E-2</v>
      </c>
      <c r="H31" s="2">
        <f t="shared" si="0"/>
        <v>2.584823960968635</v>
      </c>
      <c r="I31" s="2">
        <v>-3.3512968441706197E-2</v>
      </c>
      <c r="J31" s="2">
        <f t="shared" ref="J31:N31" si="30">ABS($A31-I31)/$A31</f>
        <v>1.7130707080010934</v>
      </c>
      <c r="K31" s="2">
        <v>-3.0213116443347902E-2</v>
      </c>
      <c r="L31" s="2">
        <f t="shared" si="30"/>
        <v>1.6428582526388917</v>
      </c>
      <c r="M31" s="2">
        <v>4.28677695250811E-4</v>
      </c>
      <c r="N31" s="2">
        <f t="shared" si="30"/>
        <v>0.99087882924520754</v>
      </c>
      <c r="O31">
        <v>-2.06362883098552E-2</v>
      </c>
      <c r="P31" s="6">
        <v>5.8219009397171201E-2</v>
      </c>
      <c r="Q31" s="5">
        <f t="shared" si="2"/>
        <v>1.2387524048242631</v>
      </c>
    </row>
    <row r="32" spans="1:17" x14ac:dyDescent="0.3">
      <c r="A32" s="1">
        <v>4.2067800000000002E-2</v>
      </c>
      <c r="B32" s="2">
        <v>3.76967E-2</v>
      </c>
      <c r="C32" t="s">
        <v>10</v>
      </c>
      <c r="E32" s="2">
        <v>1.421783757</v>
      </c>
      <c r="F32" s="2">
        <f t="shared" si="0"/>
        <v>32.797435496983439</v>
      </c>
      <c r="G32" s="2">
        <v>2.5812478369999998</v>
      </c>
      <c r="H32" s="2">
        <f t="shared" si="0"/>
        <v>60.359230504091009</v>
      </c>
      <c r="I32" s="2">
        <v>-3.3512968441706197E-2</v>
      </c>
      <c r="J32" s="2">
        <f t="shared" ref="J32:N32" si="31">ABS($A32-I32)/$A32</f>
        <v>1.7966418125432324</v>
      </c>
      <c r="K32" s="2">
        <v>-3.0213116443347902E-2</v>
      </c>
      <c r="L32" s="2">
        <f t="shared" si="31"/>
        <v>1.7182005344550439</v>
      </c>
      <c r="M32" s="2">
        <v>3.8900423808838802</v>
      </c>
      <c r="N32" s="2">
        <f t="shared" si="31"/>
        <v>91.470782424654487</v>
      </c>
      <c r="O32">
        <v>-2.06362883072925E-2</v>
      </c>
      <c r="P32" s="6">
        <v>0.69916315108420901</v>
      </c>
      <c r="Q32" s="5">
        <f t="shared" si="2"/>
        <v>16.61991240531259</v>
      </c>
    </row>
    <row r="33" spans="1:17" x14ac:dyDescent="0.3">
      <c r="A33" s="1">
        <v>-3.1382699999999999E-2</v>
      </c>
      <c r="B33" s="2">
        <v>1.5495800000000001E-2</v>
      </c>
      <c r="C33" t="s">
        <v>11</v>
      </c>
      <c r="E33" s="2">
        <v>-0.225053542</v>
      </c>
      <c r="F33" s="2">
        <f t="shared" si="0"/>
        <v>-6.1712613000156145</v>
      </c>
      <c r="G33" s="2">
        <v>-0.24638468599999999</v>
      </c>
      <c r="H33" s="2">
        <f t="shared" si="0"/>
        <v>-6.8509715862561213</v>
      </c>
      <c r="I33" s="2">
        <v>-3.3511242574505599E-2</v>
      </c>
      <c r="J33" s="2">
        <f t="shared" ref="J33:N33" si="32">ABS($A33-I33)/$A33</f>
        <v>-6.7825348822937476E-2</v>
      </c>
      <c r="K33" s="2">
        <v>-3.0213116443347902E-2</v>
      </c>
      <c r="L33" s="2">
        <f t="shared" si="32"/>
        <v>-3.7268417206043389E-2</v>
      </c>
      <c r="M33" s="2">
        <v>-5.9322208065046199E-2</v>
      </c>
      <c r="N33" s="2">
        <f t="shared" si="32"/>
        <v>-0.8902837571351796</v>
      </c>
      <c r="O33">
        <v>-2.0636288309593499E-2</v>
      </c>
      <c r="P33" s="6">
        <v>-0.197619463829382</v>
      </c>
      <c r="Q33" s="5">
        <f t="shared" si="2"/>
        <v>6.2970829096725902</v>
      </c>
    </row>
    <row r="34" spans="1:17" ht="15" thickBot="1" x14ac:dyDescent="0.35">
      <c r="A34" s="11">
        <v>3.3861599999999999E-2</v>
      </c>
      <c r="B34" s="12">
        <v>1.53639E-2</v>
      </c>
      <c r="C34" s="13" t="s">
        <v>12</v>
      </c>
      <c r="D34" s="13"/>
      <c r="E34" s="12">
        <v>-0.13537052799999999</v>
      </c>
      <c r="F34" s="12">
        <f t="shared" si="0"/>
        <v>4.9977593498239887</v>
      </c>
      <c r="G34" s="12">
        <v>4.9731102999999999E-2</v>
      </c>
      <c r="H34" s="12">
        <f t="shared" si="0"/>
        <v>0.46865780116710376</v>
      </c>
      <c r="I34" s="12">
        <v>-3.3512968441706197E-2</v>
      </c>
      <c r="J34" s="12">
        <f t="shared" ref="J34:N34" si="33">ABS($A34-I34)/$A34</f>
        <v>1.9897042207605724</v>
      </c>
      <c r="K34" s="12">
        <v>-3.0213116443347902E-2</v>
      </c>
      <c r="L34" s="12">
        <f t="shared" si="33"/>
        <v>1.8922530666993853</v>
      </c>
      <c r="M34" s="12">
        <v>0.25764263660195302</v>
      </c>
      <c r="N34" s="12">
        <f t="shared" si="33"/>
        <v>6.6086964763021543</v>
      </c>
      <c r="O34" s="13">
        <v>-2.0636288309853E-2</v>
      </c>
      <c r="P34" s="14">
        <v>0.171210288270878</v>
      </c>
      <c r="Q34" s="15">
        <f t="shared" si="2"/>
        <v>5.0561783338908386</v>
      </c>
    </row>
    <row r="35" spans="1:17" ht="15" thickTop="1" x14ac:dyDescent="0.3">
      <c r="A35" s="7">
        <v>0.16382250000000001</v>
      </c>
      <c r="B35" s="8">
        <v>2.17223E-2</v>
      </c>
      <c r="C35" s="4" t="s">
        <v>15</v>
      </c>
      <c r="D35" s="4"/>
      <c r="E35" s="8">
        <v>0.30971547399999999</v>
      </c>
      <c r="F35" s="8">
        <f t="shared" si="0"/>
        <v>0.8905551679409115</v>
      </c>
      <c r="G35" s="8">
        <v>0.32833841499999999</v>
      </c>
      <c r="H35" s="8">
        <f t="shared" si="0"/>
        <v>1.0042327213905293</v>
      </c>
      <c r="I35" s="8">
        <v>0.153911591300846</v>
      </c>
      <c r="J35" s="8">
        <f t="shared" ref="J35:N35" si="34">ABS($A35-I35)/$A35</f>
        <v>6.0497847970541335E-2</v>
      </c>
      <c r="K35" s="8">
        <v>0.66686809821026904</v>
      </c>
      <c r="L35" s="8">
        <f t="shared" si="34"/>
        <v>3.0706746522014314</v>
      </c>
      <c r="M35" s="8">
        <v>0.42550471185783501</v>
      </c>
      <c r="N35" s="8">
        <f t="shared" si="34"/>
        <v>1.5973520844684643</v>
      </c>
      <c r="O35" s="4">
        <v>0.63904987328693397</v>
      </c>
      <c r="P35" s="9">
        <v>0.193616813822859</v>
      </c>
      <c r="Q35" s="10">
        <f t="shared" si="2"/>
        <v>1.181869485710809</v>
      </c>
    </row>
    <row r="36" spans="1:17" x14ac:dyDescent="0.3">
      <c r="A36" s="1">
        <v>0.32</v>
      </c>
      <c r="B36" s="2">
        <v>2.6997500000000001E-2</v>
      </c>
      <c r="C36" t="s">
        <v>4</v>
      </c>
      <c r="E36" s="2">
        <v>0.309163511</v>
      </c>
      <c r="F36" s="2">
        <f t="shared" si="0"/>
        <v>3.3864028125000015E-2</v>
      </c>
      <c r="G36" s="2">
        <v>0.333266118</v>
      </c>
      <c r="H36" s="2">
        <f t="shared" si="0"/>
        <v>4.1456618749999979E-2</v>
      </c>
      <c r="I36" s="2">
        <v>0.69606605002868904</v>
      </c>
      <c r="J36" s="2">
        <f t="shared" ref="J36:N36" si="35">ABS($A36-I36)/$A36</f>
        <v>1.1752064063396532</v>
      </c>
      <c r="K36" s="2">
        <v>0.664051121856858</v>
      </c>
      <c r="L36" s="2">
        <f t="shared" si="35"/>
        <v>1.0751597558026811</v>
      </c>
      <c r="M36" s="2">
        <v>0.69111909380335901</v>
      </c>
      <c r="N36" s="2">
        <f t="shared" si="35"/>
        <v>1.1597471681354969</v>
      </c>
      <c r="O36">
        <v>0.51701372761361697</v>
      </c>
      <c r="P36" s="6">
        <v>0.25969242245986202</v>
      </c>
      <c r="Q36" s="5">
        <f t="shared" si="2"/>
        <v>0.8115388201870688</v>
      </c>
    </row>
    <row r="37" spans="1:17" x14ac:dyDescent="0.3">
      <c r="A37" s="1">
        <v>0.35323379999999999</v>
      </c>
      <c r="B37" s="2">
        <v>3.33479E-2</v>
      </c>
      <c r="C37" t="s">
        <v>5</v>
      </c>
      <c r="E37" s="2">
        <v>0.304023979</v>
      </c>
      <c r="F37" s="2">
        <f t="shared" si="0"/>
        <v>0.13931232232023094</v>
      </c>
      <c r="G37" s="2">
        <v>0.33085588300000002</v>
      </c>
      <c r="H37" s="2">
        <f t="shared" si="0"/>
        <v>6.335157337717956E-2</v>
      </c>
      <c r="I37" s="2">
        <v>0.50436886566721995</v>
      </c>
      <c r="J37" s="2">
        <f t="shared" ref="J37:N37" si="36">ABS($A37-I37)/$A37</f>
        <v>0.42786127960353726</v>
      </c>
      <c r="K37" s="2">
        <v>0.46597466381328101</v>
      </c>
      <c r="L37" s="2">
        <f t="shared" si="36"/>
        <v>0.31916782542690147</v>
      </c>
      <c r="M37" s="2">
        <v>0.55003431292914196</v>
      </c>
      <c r="N37" s="2">
        <f t="shared" si="36"/>
        <v>0.55713952891581153</v>
      </c>
      <c r="O37">
        <v>0.471467888061472</v>
      </c>
      <c r="P37" s="6">
        <v>0.42524141089697898</v>
      </c>
      <c r="Q37" s="5">
        <f t="shared" si="2"/>
        <v>1.2038525500588533</v>
      </c>
    </row>
    <row r="38" spans="1:17" x14ac:dyDescent="0.3">
      <c r="A38" s="1">
        <v>0.25</v>
      </c>
      <c r="B38" s="2">
        <v>4.20769E-2</v>
      </c>
      <c r="C38" t="s">
        <v>6</v>
      </c>
      <c r="E38" s="2">
        <v>0.31258016</v>
      </c>
      <c r="F38" s="2">
        <f t="shared" si="0"/>
        <v>0.25032063999999998</v>
      </c>
      <c r="G38" s="2">
        <v>0.33619538799999998</v>
      </c>
      <c r="H38" s="2">
        <f t="shared" si="0"/>
        <v>0.34478155199999994</v>
      </c>
      <c r="I38" s="2">
        <v>0.36521807142371898</v>
      </c>
      <c r="J38" s="2">
        <f t="shared" ref="J38:N38" si="37">ABS($A38-I38)/$A38</f>
        <v>0.46087228569487593</v>
      </c>
      <c r="K38" s="2">
        <v>0.47079174157892201</v>
      </c>
      <c r="L38" s="2">
        <f t="shared" si="37"/>
        <v>0.88316696631568803</v>
      </c>
      <c r="M38" s="2">
        <v>0.45050093419090997</v>
      </c>
      <c r="N38" s="2">
        <f t="shared" si="37"/>
        <v>0.8020037367636399</v>
      </c>
      <c r="O38">
        <v>0.476233425151941</v>
      </c>
      <c r="P38" s="6">
        <v>0.496256772115372</v>
      </c>
      <c r="Q38" s="5">
        <f t="shared" si="2"/>
        <v>1.985027088461488</v>
      </c>
    </row>
    <row r="39" spans="1:17" x14ac:dyDescent="0.3">
      <c r="A39" s="1">
        <v>0.05</v>
      </c>
      <c r="B39" s="2">
        <v>4.9817899999999998E-2</v>
      </c>
      <c r="C39" t="s">
        <v>16</v>
      </c>
      <c r="E39" s="2">
        <v>9.4060525000000006E-2</v>
      </c>
      <c r="F39" s="2">
        <f t="shared" si="0"/>
        <v>0.88121050000000001</v>
      </c>
      <c r="G39" s="2">
        <v>0.109143317</v>
      </c>
      <c r="H39" s="2">
        <f t="shared" si="0"/>
        <v>1.1828663399999999</v>
      </c>
      <c r="I39" s="2">
        <v>4.2664915769733101E-2</v>
      </c>
      <c r="J39" s="2">
        <f t="shared" ref="J39:N39" si="38">ABS($A39-I39)/$A39</f>
        <v>0.14670168460533803</v>
      </c>
      <c r="K39" s="2">
        <v>2.50451476988145E-2</v>
      </c>
      <c r="L39" s="2">
        <f t="shared" si="38"/>
        <v>0.49909704602371002</v>
      </c>
      <c r="M39" s="2">
        <v>0.22068470346124999</v>
      </c>
      <c r="N39" s="2">
        <f t="shared" si="38"/>
        <v>3.4136940692249995</v>
      </c>
      <c r="O39">
        <v>3.6060567314495702E-2</v>
      </c>
      <c r="P39" s="6">
        <v>8.2331612923356196E-2</v>
      </c>
      <c r="Q39" s="5">
        <f t="shared" si="2"/>
        <v>1.6466322584671238</v>
      </c>
    </row>
    <row r="40" spans="1:17" x14ac:dyDescent="0.3">
      <c r="A40" s="1">
        <v>0.27154050000000002</v>
      </c>
      <c r="B40" s="2">
        <v>2.22867E-2</v>
      </c>
      <c r="C40" t="s">
        <v>8</v>
      </c>
      <c r="E40" s="2">
        <v>0.35122760600000003</v>
      </c>
      <c r="F40" s="2">
        <f t="shared" si="0"/>
        <v>0.29346305983821935</v>
      </c>
      <c r="G40" s="2">
        <v>0.36763600499999999</v>
      </c>
      <c r="H40" s="2">
        <f t="shared" si="0"/>
        <v>0.353890137935225</v>
      </c>
      <c r="I40" s="2">
        <v>0.36776377934287002</v>
      </c>
      <c r="J40" s="2">
        <f t="shared" ref="J40:N40" si="39">ABS($A40-I40)/$A40</f>
        <v>0.35436069147280053</v>
      </c>
      <c r="K40" s="2">
        <v>0.67431464398605201</v>
      </c>
      <c r="L40" s="2">
        <f t="shared" si="39"/>
        <v>1.483293077776803</v>
      </c>
      <c r="M40" s="2">
        <v>0.50484738238317495</v>
      </c>
      <c r="N40" s="2">
        <f t="shared" si="39"/>
        <v>0.8591973660767912</v>
      </c>
      <c r="O40">
        <v>0.62699923866672203</v>
      </c>
      <c r="P40" s="6">
        <v>0.180643207917496</v>
      </c>
      <c r="Q40" s="5">
        <f t="shared" si="2"/>
        <v>0.66525327867296402</v>
      </c>
    </row>
    <row r="41" spans="1:17" x14ac:dyDescent="0.3">
      <c r="A41" s="1">
        <v>0.25757580000000002</v>
      </c>
      <c r="B41" s="2">
        <v>2.0703200000000001E-2</v>
      </c>
      <c r="C41" t="s">
        <v>9</v>
      </c>
      <c r="E41" s="2">
        <v>0.26679612899999999</v>
      </c>
      <c r="F41" s="2">
        <f t="shared" si="0"/>
        <v>3.5796565515859684E-2</v>
      </c>
      <c r="G41" s="2">
        <v>0.28921990400000003</v>
      </c>
      <c r="H41" s="2">
        <f t="shared" si="0"/>
        <v>0.12285356000059013</v>
      </c>
      <c r="I41" s="2">
        <v>0.30325889231568898</v>
      </c>
      <c r="J41" s="2">
        <f t="shared" ref="J41:N41" si="40">ABS($A41-I41)/$A41</f>
        <v>0.17735785860196862</v>
      </c>
      <c r="K41" s="2">
        <v>0.65451837298132698</v>
      </c>
      <c r="L41" s="2">
        <f t="shared" si="40"/>
        <v>1.5410709118687662</v>
      </c>
      <c r="M41" s="2">
        <v>0.52620357891074998</v>
      </c>
      <c r="N41" s="2">
        <f t="shared" si="40"/>
        <v>1.0429076757628237</v>
      </c>
      <c r="O41">
        <v>0.58033935984468699</v>
      </c>
      <c r="P41" s="6">
        <v>0.25523243572741999</v>
      </c>
      <c r="Q41" s="5">
        <f t="shared" si="2"/>
        <v>0.99090223432255664</v>
      </c>
    </row>
    <row r="42" spans="1:17" x14ac:dyDescent="0.3">
      <c r="A42" s="1">
        <v>0.25974029999999998</v>
      </c>
      <c r="B42" s="2">
        <v>4.96336E-2</v>
      </c>
      <c r="C42" t="s">
        <v>10</v>
      </c>
      <c r="E42" s="2">
        <v>0.390589668</v>
      </c>
      <c r="F42" s="2">
        <f t="shared" si="0"/>
        <v>0.50376998871565182</v>
      </c>
      <c r="G42" s="2">
        <v>0.42167151600000002</v>
      </c>
      <c r="H42" s="2">
        <f t="shared" si="0"/>
        <v>0.62343508496756206</v>
      </c>
      <c r="I42" s="2">
        <v>0.51297796965628295</v>
      </c>
      <c r="J42" s="2">
        <f t="shared" ref="J42:N42" si="41">ABS($A42-I42)/$A42</f>
        <v>0.97496487705713353</v>
      </c>
      <c r="K42" s="2">
        <v>0.73957034027141899</v>
      </c>
      <c r="L42" s="2">
        <f t="shared" si="41"/>
        <v>1.8473453687064312</v>
      </c>
      <c r="M42" s="2">
        <v>0.69986983148531201</v>
      </c>
      <c r="N42" s="2">
        <f t="shared" si="41"/>
        <v>1.6944984335711943</v>
      </c>
      <c r="O42">
        <v>0.59337267420834305</v>
      </c>
      <c r="P42" s="6">
        <v>0.464728942274656</v>
      </c>
      <c r="Q42" s="5">
        <f t="shared" si="2"/>
        <v>1.7892061504304724</v>
      </c>
    </row>
    <row r="43" spans="1:17" x14ac:dyDescent="0.3">
      <c r="A43" s="1">
        <v>0.18442620000000001</v>
      </c>
      <c r="B43" s="2">
        <v>1.67869E-2</v>
      </c>
      <c r="C43" t="s">
        <v>11</v>
      </c>
      <c r="E43" s="2">
        <v>0.29840619800000001</v>
      </c>
      <c r="F43" s="2">
        <f t="shared" si="0"/>
        <v>0.61802497692844072</v>
      </c>
      <c r="G43" s="2">
        <v>0.31840950000000001</v>
      </c>
      <c r="H43" s="2">
        <f t="shared" si="0"/>
        <v>0.72648734290464145</v>
      </c>
      <c r="I43" s="2">
        <v>0.42025051370870797</v>
      </c>
      <c r="J43" s="2">
        <f t="shared" ref="J43:N43" si="42">ABS($A43-I43)/$A43</f>
        <v>1.278692038922387</v>
      </c>
      <c r="K43" s="2">
        <v>0.64167705716290102</v>
      </c>
      <c r="L43" s="2">
        <f t="shared" si="42"/>
        <v>2.4793161555294261</v>
      </c>
      <c r="M43" s="2">
        <v>0.53212622683602695</v>
      </c>
      <c r="N43" s="2">
        <f t="shared" si="42"/>
        <v>1.8853071138267066</v>
      </c>
      <c r="O43">
        <v>0.56063426823676998</v>
      </c>
      <c r="P43" s="6">
        <v>0.17895321387153099</v>
      </c>
      <c r="Q43" s="5">
        <f t="shared" si="2"/>
        <v>0.97032424824418095</v>
      </c>
    </row>
    <row r="44" spans="1:17" x14ac:dyDescent="0.3">
      <c r="A44" s="1">
        <v>0.35253459999999998</v>
      </c>
      <c r="B44" s="2">
        <v>2.24409E-2</v>
      </c>
      <c r="C44" t="s">
        <v>12</v>
      </c>
      <c r="E44" s="2">
        <v>0.33063126399999998</v>
      </c>
      <c r="F44" s="2">
        <f t="shared" si="0"/>
        <v>6.2131024869615629E-2</v>
      </c>
      <c r="G44" s="2">
        <v>0.35392951</v>
      </c>
      <c r="H44" s="2">
        <f t="shared" si="0"/>
        <v>3.9568031052839266E-3</v>
      </c>
      <c r="I44" s="2">
        <v>0.45960189474711399</v>
      </c>
      <c r="J44" s="2">
        <f t="shared" ref="J44:N44" si="43">ABS($A44-I44)/$A44</f>
        <v>0.30370719568267635</v>
      </c>
      <c r="K44" s="2">
        <v>0.66251781239352103</v>
      </c>
      <c r="L44" s="2">
        <f t="shared" si="43"/>
        <v>0.87929869123065107</v>
      </c>
      <c r="M44" s="2">
        <v>0.59974625808502202</v>
      </c>
      <c r="N44" s="2">
        <f t="shared" si="43"/>
        <v>0.70124083731078324</v>
      </c>
      <c r="O44">
        <v>0.58488259791883401</v>
      </c>
      <c r="P44" s="6">
        <v>0.32937204923535301</v>
      </c>
      <c r="Q44" s="5">
        <f t="shared" si="2"/>
        <v>0.93429708526582367</v>
      </c>
    </row>
    <row r="45" spans="1:17" x14ac:dyDescent="0.3">
      <c r="I45" s="2" t="s">
        <v>19</v>
      </c>
      <c r="K45" t="s">
        <v>24</v>
      </c>
      <c r="N45" t="s">
        <v>29</v>
      </c>
    </row>
    <row r="46" spans="1:17" x14ac:dyDescent="0.3">
      <c r="I46" s="2" t="s">
        <v>17</v>
      </c>
    </row>
    <row r="49" spans="9:27" x14ac:dyDescent="0.3">
      <c r="I49" s="2" t="s">
        <v>18</v>
      </c>
    </row>
    <row r="50" spans="9:27" x14ac:dyDescent="0.3">
      <c r="I50" s="2">
        <v>2.1869000000000001</v>
      </c>
      <c r="L50" s="2"/>
      <c r="M50" s="2"/>
      <c r="N50" s="2"/>
      <c r="O50" s="2"/>
      <c r="P50" s="17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9:27" x14ac:dyDescent="0.3">
      <c r="I51" s="2">
        <v>2.7541000000000002</v>
      </c>
    </row>
    <row r="52" spans="9:27" x14ac:dyDescent="0.3">
      <c r="I52" s="2">
        <v>0.625</v>
      </c>
    </row>
    <row r="53" spans="9:27" x14ac:dyDescent="0.3">
      <c r="I53" s="2">
        <v>0.125</v>
      </c>
    </row>
    <row r="54" spans="9:27" x14ac:dyDescent="0.3">
      <c r="I54" s="2">
        <v>3.125E-2</v>
      </c>
    </row>
    <row r="55" spans="9:27" x14ac:dyDescent="0.3">
      <c r="I55" s="2">
        <v>1.7812499999999998E-2</v>
      </c>
    </row>
    <row r="56" spans="9:27" x14ac:dyDescent="0.3">
      <c r="I56" s="2">
        <v>0.26</v>
      </c>
    </row>
    <row r="57" spans="9:27" x14ac:dyDescent="0.3">
      <c r="I57" s="2">
        <v>2.1875000000000002E-3</v>
      </c>
    </row>
    <row r="58" spans="9:27" x14ac:dyDescent="0.3">
      <c r="I58" s="2">
        <v>0.32250000000000001</v>
      </c>
    </row>
    <row r="59" spans="9:27" x14ac:dyDescent="0.3">
      <c r="I59" s="2">
        <v>6.0937500000000002E-3</v>
      </c>
    </row>
    <row r="60" spans="9:27" x14ac:dyDescent="0.3">
      <c r="I60" s="2">
        <v>0.94755</v>
      </c>
    </row>
    <row r="61" spans="9:27" x14ac:dyDescent="0.3">
      <c r="I61" s="2">
        <v>0.01</v>
      </c>
    </row>
    <row r="62" spans="9:27" x14ac:dyDescent="0.3">
      <c r="I62" s="2">
        <v>0.14499999999999999</v>
      </c>
    </row>
    <row r="63" spans="9:27" x14ac:dyDescent="0.3">
      <c r="I63" s="2">
        <v>2.5624999999999998E-2</v>
      </c>
    </row>
    <row r="64" spans="9:27" x14ac:dyDescent="0.3">
      <c r="I64" s="2">
        <v>0.64500000000000002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mv416</dc:creator>
  <cp:lastModifiedBy>Christian Rörig</cp:lastModifiedBy>
  <dcterms:created xsi:type="dcterms:W3CDTF">2020-11-16T15:04:59Z</dcterms:created>
  <dcterms:modified xsi:type="dcterms:W3CDTF">2020-12-03T09:54:38Z</dcterms:modified>
</cp:coreProperties>
</file>