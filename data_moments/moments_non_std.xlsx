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chris\Box\brazil\modified model\foc_augmented\simplified\faster_version\external\"/>
    </mc:Choice>
  </mc:AlternateContent>
  <xr:revisionPtr revIDLastSave="0" documentId="13_ncr:1_{74BFBBCE-E194-40F8-B52C-5ED4F13DD3B6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moments_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1" l="1"/>
  <c r="P2" i="1"/>
  <c r="O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2" i="1"/>
  <c r="M3" i="1"/>
  <c r="M4" i="1"/>
  <c r="M5" i="1"/>
  <c r="M6" i="1"/>
  <c r="M7" i="1"/>
  <c r="M8" i="1"/>
  <c r="M9" i="1"/>
  <c r="M10" i="1"/>
  <c r="M46" i="1" s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2" i="1"/>
  <c r="P46" i="1" l="1"/>
  <c r="G46" i="1"/>
  <c r="J4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2" i="1"/>
</calcChain>
</file>

<file path=xl/sharedStrings.xml><?xml version="1.0" encoding="utf-8"?>
<sst xmlns="http://schemas.openxmlformats.org/spreadsheetml/2006/main" count="64" uniqueCount="29">
  <si>
    <t>moment</t>
  </si>
  <si>
    <t>sd</t>
  </si>
  <si>
    <t>average donation in terms of share of HH income</t>
  </si>
  <si>
    <t>average catholic</t>
  </si>
  <si>
    <t>average pentecostal</t>
  </si>
  <si>
    <t>average protestant</t>
  </si>
  <si>
    <t>average other religion</t>
  </si>
  <si>
    <t>average no religion</t>
  </si>
  <si>
    <t>average young</t>
  </si>
  <si>
    <t>average middle</t>
  </si>
  <si>
    <t>average old</t>
  </si>
  <si>
    <t>average low crime</t>
  </si>
  <si>
    <t>average high crime</t>
  </si>
  <si>
    <t>average pray</t>
  </si>
  <si>
    <t>average community_help_job catholic</t>
  </si>
  <si>
    <t>average _job no religion</t>
  </si>
  <si>
    <t>run 1</t>
  </si>
  <si>
    <t>run 2</t>
  </si>
  <si>
    <t>run 3</t>
  </si>
  <si>
    <t>abs % dev</t>
  </si>
  <si>
    <t>run 4</t>
  </si>
  <si>
    <t>Graph all</t>
  </si>
  <si>
    <t>run 6</t>
  </si>
  <si>
    <t>run 7</t>
  </si>
  <si>
    <t>average time in hours per week</t>
  </si>
  <si>
    <t>benchmark</t>
  </si>
  <si>
    <t>description</t>
  </si>
  <si>
    <t>Distance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</si>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</sst>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164" fontId="0" fillId="33" borderId="0" xfId="0" applyNumberFormat="1" applyFill="1"/>
    <xf numFmtId="164" fontId="0" fillId="0" borderId="0" xfId="0" applyNumberFormat="1"/>
    <xf numFmtId="0" fontId="0" fillId="0" borderId="10" xfId="0" applyBorder="1"/>
    <xf numFmtId="0" fontId="0" fillId="0" borderId="0" xfId="0" applyBorder="1"/>
    <xf numFmtId="2" fontId="0" fillId="0" borderId="0" xfId="0" applyNumberFormat="1"/>
    <xf numFmtId="164" fontId="0" fillId="34" borderId="0" xfId="0" applyNumberFormat="1" applyFill="1"/>
    <xf numFmtId="164" fontId="0" fillId="33" borderId="0" xfId="0" applyNumberFormat="1" applyFill="1" applyBorder="1"/>
    <xf numFmtId="164" fontId="0" fillId="0" borderId="0" xfId="0" applyNumberFormat="1" applyBorder="1"/>
    <xf numFmtId="11" fontId="0" fillId="0" borderId="0" xfId="0" applyNumberFormat="1" applyBorder="1"/>
    <xf numFmtId="164" fontId="0" fillId="0" borderId="0" xfId="0" applyNumberFormat="1" applyFill="1"/>
    <xf numFmtId="0" fontId="0" fillId="0" borderId="0" xfId="0" applyFill="1"/>
    <xf numFmtId="9" fontId="0" fillId="0" borderId="0" xfId="42" applyFont="1"/>
    <xf numFmtId="0" fontId="0" fillId="34" borderId="0" xfId="0" applyFill="1"/>
    <xf numFmtId="164" fontId="0" fillId="33" borderId="11" xfId="0" applyNumberFormat="1" applyFill="1" applyBorder="1"/>
    <xf numFmtId="164" fontId="0" fillId="0" borderId="11" xfId="0" applyNumberFormat="1" applyBorder="1"/>
    <xf numFmtId="0" fontId="0" fillId="0" borderId="11" xfId="0" applyBorder="1"/>
    <xf numFmtId="0" fontId="0" fillId="34" borderId="11" xfId="0" applyFill="1" applyBorder="1"/>
    <xf numFmtId="9" fontId="0" fillId="0" borderId="11" xfId="42" applyFont="1" applyBorder="1"/>
    <xf numFmtId="164" fontId="0" fillId="34" borderId="11" xfId="0" applyNumberFormat="1" applyFill="1" applyBorder="1"/>
    <xf numFmtId="2" fontId="0" fillId="0" borderId="11" xfId="0" applyNumberFormat="1" applyBorder="1"/>
    <xf numFmtId="2" fontId="0" fillId="0" borderId="0" xfId="42" applyNumberFormat="1" applyFont="1"/>
    <xf numFmtId="9" fontId="0" fillId="0" borderId="10" xfId="42" applyFont="1" applyBorder="1"/>
    <xf numFmtId="2" fontId="0" fillId="0" borderId="10" xfId="42" applyNumberFormat="1" applyFont="1" applyBorder="1"/>
    <xf numFmtId="164" fontId="0" fillId="34" borderId="10" xfId="0" applyNumberFormat="1" applyFill="1" applyBorder="1"/>
    <xf numFmtId="2" fontId="0" fillId="0" borderId="11" xfId="42" applyNumberFormat="1" applyFont="1" applyBorder="1"/>
    <xf numFmtId="164" fontId="16" fillId="33" borderId="11" xfId="0" applyNumberFormat="1" applyFont="1" applyFill="1" applyBorder="1"/>
    <xf numFmtId="164" fontId="16" fillId="0" borderId="11" xfId="0" applyNumberFormat="1" applyFont="1" applyBorder="1"/>
    <xf numFmtId="0" fontId="16" fillId="0" borderId="11" xfId="0" applyFont="1" applyBorder="1"/>
    <xf numFmtId="164" fontId="16" fillId="34" borderId="11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Moment fit 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moments_new!$T$2:$T$44</c:f>
              <c:numCache>
                <c:formatCode>0.00</c:formatCode>
                <c:ptCount val="43"/>
                <c:pt idx="0">
                  <c:v>0.79532562474627078</c:v>
                </c:pt>
                <c:pt idx="1">
                  <c:v>0.97640677939495668</c:v>
                </c:pt>
                <c:pt idx="2">
                  <c:v>0.64953004947376192</c:v>
                </c:pt>
                <c:pt idx="3">
                  <c:v>0.6699754394938745</c:v>
                </c:pt>
                <c:pt idx="4">
                  <c:v>0.67609794685674296</c:v>
                </c:pt>
                <c:pt idx="5">
                  <c:v>1.6272555716069386</c:v>
                </c:pt>
                <c:pt idx="6">
                  <c:v>0.64069592312144408</c:v>
                </c:pt>
                <c:pt idx="7">
                  <c:v>0.77531692552139864</c:v>
                </c:pt>
                <c:pt idx="8">
                  <c:v>2.692519693718642</c:v>
                </c:pt>
                <c:pt idx="9">
                  <c:v>0.64093439749091252</c:v>
                </c:pt>
                <c:pt idx="10">
                  <c:v>1.2073737636686876</c:v>
                </c:pt>
                <c:pt idx="11">
                  <c:v>0.78260138320972428</c:v>
                </c:pt>
                <c:pt idx="12">
                  <c:v>1.2426337513516441</c:v>
                </c:pt>
                <c:pt idx="13">
                  <c:v>0.78546356709837561</c:v>
                </c:pt>
                <c:pt idx="14">
                  <c:v>0.80435019290519216</c:v>
                </c:pt>
                <c:pt idx="15">
                  <c:v>0.74402796272774774</c:v>
                </c:pt>
                <c:pt idx="16">
                  <c:v>1.2482167308609835</c:v>
                </c:pt>
                <c:pt idx="17">
                  <c:v>0.49799210965646312</c:v>
                </c:pt>
                <c:pt idx="18">
                  <c:v>0.92964433300609717</c:v>
                </c:pt>
                <c:pt idx="19">
                  <c:v>2.4669963351400992</c:v>
                </c:pt>
                <c:pt idx="20">
                  <c:v>0.66135504608482054</c:v>
                </c:pt>
                <c:pt idx="21">
                  <c:v>1.0942557843978438</c:v>
                </c:pt>
                <c:pt idx="22">
                  <c:v>0.88552447298297199</c:v>
                </c:pt>
                <c:pt idx="23">
                  <c:v>1.1726540683611386</c:v>
                </c:pt>
                <c:pt idx="24">
                  <c:v>0.94735489256790262</c:v>
                </c:pt>
                <c:pt idx="25">
                  <c:v>0.81218847886362167</c:v>
                </c:pt>
                <c:pt idx="26">
                  <c:v>0.80387570388043594</c:v>
                </c:pt>
                <c:pt idx="27">
                  <c:v>0.91008681711472483</c:v>
                </c:pt>
                <c:pt idx="28">
                  <c:v>0.9137309877989831</c:v>
                </c:pt>
                <c:pt idx="29">
                  <c:v>1.0060835642915165</c:v>
                </c:pt>
                <c:pt idx="30">
                  <c:v>1.8956481937561165</c:v>
                </c:pt>
                <c:pt idx="31">
                  <c:v>0.90463668732484592</c:v>
                </c:pt>
                <c:pt idx="32">
                  <c:v>1.1426277220582219</c:v>
                </c:pt>
                <c:pt idx="33">
                  <c:v>1.6240689638330448</c:v>
                </c:pt>
                <c:pt idx="34">
                  <c:v>1.2238813826710062</c:v>
                </c:pt>
                <c:pt idx="35">
                  <c:v>1.0724278437858383</c:v>
                </c:pt>
                <c:pt idx="36">
                  <c:v>1.5123860790488519</c:v>
                </c:pt>
                <c:pt idx="37">
                  <c:v>1.797372792353622</c:v>
                </c:pt>
                <c:pt idx="38">
                  <c:v>0.81533130022720735</c:v>
                </c:pt>
                <c:pt idx="39">
                  <c:v>1.4267433640395912</c:v>
                </c:pt>
                <c:pt idx="40">
                  <c:v>2.581092982116183</c:v>
                </c:pt>
                <c:pt idx="41">
                  <c:v>1.3778406581237155</c:v>
                </c:pt>
                <c:pt idx="42">
                  <c:v>1.2117487135131191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5-403C-83BE-AC592090E9CF}"/>
            </c:ext>
          </c:extLst>
        </c:ser>
        <c:ser>
          <c:idx val="1"/>
          <c:order val="1"/>
          <c:tx>
            <c:v>benchmark</c:v>
          </c:tx>
          <c:spPr>
            <a:ln w="34925" cap="rnd">
              <a:solidFill>
                <a:srgbClr val="C00000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val>
            <c:numRef>
              <c:f>moments_new!$U$2:$U$44</c:f>
              <c:numCache>
                <c:formatCode>General</c:formatCode>
                <c:ptCount val="4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52-4BE5-8E52-725D5AA6C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060400623"/>
        <c:axId val="2049354783"/>
      </c:lineChart>
      <c:catAx>
        <c:axId val="20604006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354783"/>
        <c:crosses val="autoZero"/>
        <c:auto val="1"/>
        <c:lblAlgn val="ctr"/>
        <c:lblOffset val="100"/>
        <c:noMultiLvlLbl val="0"/>
      </c:catAx>
      <c:valAx>
        <c:axId val="2049354783"/>
        <c:scaling>
          <c:orientation val="minMax"/>
          <c:max val="3"/>
          <c:min val="-3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40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342900</xdr:colOff>
      <xdr:row>0</xdr:row>
      <xdr:rowOff>171451</xdr:rowOff>
    </xdr:from>
    <xdr:to>
      <xdr:col>36</xdr:col>
      <xdr:colOff>161925</xdr:colOff>
      <xdr:row>23</xdr:row>
      <xdr:rowOff>139515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219ADB-CD04-4055-8667-5E5BA8B02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"/>
  <sheetViews>
    <sheetView tabSelected="1" topLeftCell="A20" workbookViewId="0">
      <selection activeCell="V7" sqref="V7"/>
    </sheetView>
  </sheetViews>
  <sheetFormatPr defaultRowHeight="14.4" x14ac:dyDescent="0.3"/>
  <cols>
    <col min="1" max="1" width="9.109375" style="10"/>
    <col min="2" max="2" width="8.88671875" style="2"/>
    <col min="4" max="4" width="26.44140625" customWidth="1"/>
    <col min="5" max="5" width="6.21875" style="2" hidden="1" customWidth="1"/>
    <col min="6" max="7" width="9.44140625" style="2" hidden="1" customWidth="1"/>
    <col min="8" max="8" width="5.5546875" style="2" hidden="1" customWidth="1"/>
    <col min="9" max="10" width="9.44140625" style="2" hidden="1" customWidth="1"/>
    <col min="11" max="11" width="5.5546875" style="2" hidden="1" customWidth="1"/>
    <col min="12" max="12" width="9.33203125" style="2" hidden="1" customWidth="1"/>
    <col min="13" max="13" width="7.5546875" style="2" hidden="1" customWidth="1"/>
    <col min="14" max="14" width="10.77734375" style="2" hidden="1" customWidth="1"/>
    <col min="15" max="15" width="9.33203125" style="2" hidden="1" customWidth="1"/>
    <col min="16" max="16" width="7.5546875" style="2" hidden="1" customWidth="1"/>
    <col min="17" max="18" width="0.21875" customWidth="1"/>
    <col min="19" max="19" width="5.33203125" style="11" bestFit="1" customWidth="1"/>
    <col min="20" max="20" width="10.21875" bestFit="1" customWidth="1"/>
    <col min="21" max="21" width="4.109375" customWidth="1"/>
  </cols>
  <sheetData>
    <row r="1" spans="1:22" ht="15" thickBot="1" x14ac:dyDescent="0.35">
      <c r="A1" s="26" t="s">
        <v>0</v>
      </c>
      <c r="B1" s="27" t="s">
        <v>1</v>
      </c>
      <c r="C1" s="28" t="s">
        <v>26</v>
      </c>
      <c r="D1" s="28"/>
      <c r="E1" s="29" t="s">
        <v>16</v>
      </c>
      <c r="F1" s="27" t="s">
        <v>19</v>
      </c>
      <c r="G1" s="27" t="s">
        <v>28</v>
      </c>
      <c r="H1" s="29" t="s">
        <v>17</v>
      </c>
      <c r="I1" s="27" t="s">
        <v>19</v>
      </c>
      <c r="J1" s="27" t="s">
        <v>28</v>
      </c>
      <c r="K1" s="29" t="s">
        <v>18</v>
      </c>
      <c r="L1" s="27" t="s">
        <v>19</v>
      </c>
      <c r="M1" s="27" t="s">
        <v>28</v>
      </c>
      <c r="N1" s="29" t="s">
        <v>20</v>
      </c>
      <c r="O1" s="27" t="s">
        <v>19</v>
      </c>
      <c r="P1" s="27" t="s">
        <v>28</v>
      </c>
      <c r="Q1" s="27" t="s">
        <v>19</v>
      </c>
      <c r="R1" s="27" t="s">
        <v>22</v>
      </c>
      <c r="S1" s="29" t="s">
        <v>23</v>
      </c>
      <c r="T1" s="27" t="s">
        <v>21</v>
      </c>
      <c r="U1" s="27" t="s">
        <v>25</v>
      </c>
      <c r="V1" s="2"/>
    </row>
    <row r="2" spans="1:22" ht="15" thickTop="1" x14ac:dyDescent="0.3">
      <c r="A2" s="1">
        <v>1.5070399999999999E-2</v>
      </c>
      <c r="B2" s="2">
        <v>7.339E-4</v>
      </c>
      <c r="C2" t="s">
        <v>2</v>
      </c>
      <c r="E2" s="13">
        <v>1.4974887809835E-2</v>
      </c>
      <c r="F2" s="12">
        <f>ABS(A2-E2)/A2</f>
        <v>6.337734244943668E-3</v>
      </c>
      <c r="G2" s="21">
        <f>ABS($A2-E2)^2/($B2)^2</f>
        <v>1.6937286442084684E-2</v>
      </c>
      <c r="H2" s="6">
        <v>1.1871814161752E-2</v>
      </c>
      <c r="I2" s="12">
        <f>ABS(H2-A2)/A2</f>
        <v>0.21224292906943407</v>
      </c>
      <c r="J2" s="21">
        <f>ABS($A2-H2)^2/($B2)^2</f>
        <v>18.995128888792408</v>
      </c>
      <c r="K2" s="6">
        <v>1.1820475323970601E-2</v>
      </c>
      <c r="L2" s="12">
        <f>ABS(A2-K2)/A2</f>
        <v>0.2156495299414348</v>
      </c>
      <c r="M2" s="21">
        <f>ABS($A2-K2)^2/($B2)^2</f>
        <v>19.609784243876543</v>
      </c>
      <c r="N2" s="6">
        <v>1.1985875295176199E-2</v>
      </c>
      <c r="O2" s="12">
        <f>ABS(A2-N2)/A2</f>
        <v>0.20467437525372917</v>
      </c>
      <c r="P2" s="21">
        <f>ABS($A2-N2)^2/($B2)^2</f>
        <v>17.664556190319047</v>
      </c>
      <c r="Q2" s="2"/>
      <c r="S2" s="6">
        <v>1.1036007656625799E-2</v>
      </c>
      <c r="T2" s="5">
        <f>N2/A2</f>
        <v>0.79532562474627078</v>
      </c>
      <c r="U2">
        <v>1</v>
      </c>
    </row>
    <row r="3" spans="1:22" x14ac:dyDescent="0.3">
      <c r="A3" s="1">
        <v>1.2487699999999999E-2</v>
      </c>
      <c r="B3" s="2">
        <v>1.2657E-3</v>
      </c>
      <c r="C3" t="s">
        <v>3</v>
      </c>
      <c r="E3" s="13">
        <v>1.3760849882569801E-2</v>
      </c>
      <c r="F3" s="12">
        <f t="shared" ref="F3:F44" si="0">ABS(A3-E3)/A3</f>
        <v>0.10195231168027752</v>
      </c>
      <c r="G3" s="21">
        <f t="shared" ref="G3:G44" si="1">ABS($A3-E3)^2/($B3)^2</f>
        <v>1.0118066010790692</v>
      </c>
      <c r="H3" s="6">
        <v>1.22609430975817E-2</v>
      </c>
      <c r="I3" s="12">
        <f t="shared" ref="I3:I44" si="2">ABS(H3-A3)/A3</f>
        <v>1.8158420078821534E-2</v>
      </c>
      <c r="J3" s="21">
        <f t="shared" ref="J3:J44" si="3">ABS($A3-H3)^2/($B3)^2</f>
        <v>3.2096632617679616E-2</v>
      </c>
      <c r="K3" s="6">
        <v>1.1813640410765601E-2</v>
      </c>
      <c r="L3" s="12">
        <f t="shared" ref="L3:L44" si="4">ABS(A3-K3)/A3</f>
        <v>5.3977881374023928E-2</v>
      </c>
      <c r="M3" s="21">
        <f t="shared" ref="M3:M44" si="5">ABS($A3-K3)^2/($B3)^2</f>
        <v>0.28361880483199192</v>
      </c>
      <c r="N3" s="6">
        <v>1.21930749390504E-2</v>
      </c>
      <c r="O3" s="12">
        <f t="shared" ref="O3:O44" si="6">ABS(A3-N3)/A3</f>
        <v>2.3593220605043305E-2</v>
      </c>
      <c r="P3" s="21">
        <f t="shared" ref="P3:P44" si="7">ABS($A3-N3)^2/($B3)^2</f>
        <v>5.41848419028403E-2</v>
      </c>
      <c r="Q3" s="2"/>
      <c r="S3" s="6">
        <v>9.0353721123738497E-3</v>
      </c>
      <c r="T3" s="5">
        <f t="shared" ref="T3:T44" si="8">N3/A3</f>
        <v>0.97640677939495668</v>
      </c>
      <c r="U3">
        <v>1</v>
      </c>
    </row>
    <row r="4" spans="1:22" x14ac:dyDescent="0.3">
      <c r="A4" s="1">
        <v>2.2804700000000001E-2</v>
      </c>
      <c r="B4" s="2">
        <v>1.7145999999999999E-3</v>
      </c>
      <c r="C4" t="s">
        <v>4</v>
      </c>
      <c r="E4" s="13">
        <v>1.65360030798842E-2</v>
      </c>
      <c r="F4" s="12">
        <f t="shared" si="0"/>
        <v>0.27488618223944189</v>
      </c>
      <c r="G4" s="21">
        <f t="shared" si="1"/>
        <v>13.366844851621542</v>
      </c>
      <c r="H4" s="6">
        <v>1.5764527631102199E-2</v>
      </c>
      <c r="I4" s="12">
        <f t="shared" si="2"/>
        <v>0.30871585107007776</v>
      </c>
      <c r="J4" s="21">
        <f t="shared" si="3"/>
        <v>16.859354629736707</v>
      </c>
      <c r="K4" s="6">
        <v>1.43429099368914E-2</v>
      </c>
      <c r="L4" s="12">
        <f t="shared" si="4"/>
        <v>0.37105465378227293</v>
      </c>
      <c r="M4" s="21">
        <f t="shared" si="5"/>
        <v>24.35560117299309</v>
      </c>
      <c r="N4" s="6">
        <v>1.48123379192343E-2</v>
      </c>
      <c r="O4" s="12">
        <f t="shared" si="6"/>
        <v>0.35046995052623803</v>
      </c>
      <c r="P4" s="21">
        <f t="shared" si="7"/>
        <v>21.728245648181097</v>
      </c>
      <c r="Q4" s="2"/>
      <c r="S4" s="6">
        <v>1.4268664899296899E-2</v>
      </c>
      <c r="T4" s="5">
        <f t="shared" si="8"/>
        <v>0.64953004947376192</v>
      </c>
      <c r="U4">
        <v>1</v>
      </c>
    </row>
    <row r="5" spans="1:22" x14ac:dyDescent="0.3">
      <c r="A5" s="1">
        <v>2.1810199999999998E-2</v>
      </c>
      <c r="B5" s="2">
        <v>1.9515999999999999E-3</v>
      </c>
      <c r="C5" t="s">
        <v>5</v>
      </c>
      <c r="E5" s="13">
        <v>2.1202602472012499E-2</v>
      </c>
      <c r="F5" s="12">
        <f t="shared" si="0"/>
        <v>2.7858411568325778E-2</v>
      </c>
      <c r="G5" s="21">
        <f t="shared" si="1"/>
        <v>9.6928251306257748E-2</v>
      </c>
      <c r="H5" s="6">
        <v>1.7067211925731299E-2</v>
      </c>
      <c r="I5" s="12">
        <f t="shared" si="2"/>
        <v>0.21746650990218794</v>
      </c>
      <c r="J5" s="21">
        <f t="shared" si="3"/>
        <v>5.9063944381305467</v>
      </c>
      <c r="K5" s="6">
        <v>1.40836127534854E-2</v>
      </c>
      <c r="L5" s="12">
        <f t="shared" si="4"/>
        <v>0.35426485068979646</v>
      </c>
      <c r="M5" s="21">
        <f t="shared" si="5"/>
        <v>15.674503996406113</v>
      </c>
      <c r="N5" s="6">
        <v>1.4612298330449301E-2</v>
      </c>
      <c r="O5" s="12">
        <f t="shared" si="6"/>
        <v>0.3300245605061255</v>
      </c>
      <c r="P5" s="21">
        <f t="shared" si="7"/>
        <v>13.602859113828034</v>
      </c>
      <c r="Q5" s="2"/>
      <c r="S5" s="6">
        <v>1.48603670977743E-2</v>
      </c>
      <c r="T5" s="5">
        <f t="shared" si="8"/>
        <v>0.6699754394938745</v>
      </c>
      <c r="U5">
        <v>1</v>
      </c>
    </row>
    <row r="6" spans="1:22" x14ac:dyDescent="0.3">
      <c r="A6" s="1">
        <v>2.18286E-2</v>
      </c>
      <c r="B6" s="2">
        <v>2.7369E-3</v>
      </c>
      <c r="C6" t="s">
        <v>6</v>
      </c>
      <c r="E6" s="13">
        <v>2.2578137947487802E-2</v>
      </c>
      <c r="F6" s="12">
        <f t="shared" si="0"/>
        <v>3.43374264720505E-2</v>
      </c>
      <c r="G6" s="21">
        <f t="shared" si="1"/>
        <v>7.5001403618387599E-2</v>
      </c>
      <c r="H6" s="6">
        <v>1.28043573292182E-2</v>
      </c>
      <c r="I6" s="12">
        <f t="shared" si="2"/>
        <v>0.41341371736079274</v>
      </c>
      <c r="J6" s="21">
        <f t="shared" si="3"/>
        <v>10.871855504280242</v>
      </c>
      <c r="K6" s="6">
        <v>1.56901645183119E-2</v>
      </c>
      <c r="L6" s="12">
        <f t="shared" si="4"/>
        <v>0.28121068147696598</v>
      </c>
      <c r="M6" s="21">
        <f t="shared" si="5"/>
        <v>5.0303422232066826</v>
      </c>
      <c r="N6" s="6">
        <v>1.4758271642757099E-2</v>
      </c>
      <c r="O6" s="12">
        <f t="shared" si="6"/>
        <v>0.32390205314325704</v>
      </c>
      <c r="P6" s="21">
        <f t="shared" si="7"/>
        <v>6.6736174488505631</v>
      </c>
      <c r="Q6" s="2"/>
      <c r="S6" s="6">
        <v>9.3074635823656403E-3</v>
      </c>
      <c r="T6" s="5">
        <f t="shared" si="8"/>
        <v>0.67609794685674296</v>
      </c>
      <c r="U6">
        <v>1</v>
      </c>
    </row>
    <row r="7" spans="1:22" x14ac:dyDescent="0.3">
      <c r="A7" s="1">
        <v>3.7615999999999999E-3</v>
      </c>
      <c r="B7" s="2">
        <v>7.6909999999999999E-4</v>
      </c>
      <c r="C7" t="s">
        <v>7</v>
      </c>
      <c r="E7" s="13">
        <v>7.5912963334004999E-3</v>
      </c>
      <c r="F7" s="12">
        <f t="shared" si="0"/>
        <v>1.0181030235539399</v>
      </c>
      <c r="G7" s="21">
        <f t="shared" si="1"/>
        <v>24.794939633144999</v>
      </c>
      <c r="H7" s="6">
        <v>3.6731043265326399E-3</v>
      </c>
      <c r="I7" s="12">
        <f t="shared" si="2"/>
        <v>2.3526072274393895E-2</v>
      </c>
      <c r="J7" s="21">
        <f t="shared" si="3"/>
        <v>1.3239709454513266E-2</v>
      </c>
      <c r="K7" s="6">
        <v>6.3220130629059804E-3</v>
      </c>
      <c r="L7" s="12">
        <f t="shared" si="4"/>
        <v>0.68067127363515012</v>
      </c>
      <c r="M7" s="21">
        <f t="shared" si="5"/>
        <v>11.082926313712388</v>
      </c>
      <c r="N7" s="6">
        <v>6.1210845581566604E-3</v>
      </c>
      <c r="O7" s="12">
        <f t="shared" si="6"/>
        <v>0.62725557160693868</v>
      </c>
      <c r="P7" s="21">
        <f t="shared" si="7"/>
        <v>9.4117125827833981</v>
      </c>
      <c r="Q7" s="2"/>
      <c r="S7" s="6">
        <v>7.7737638173415204E-3</v>
      </c>
      <c r="T7" s="5">
        <f t="shared" si="8"/>
        <v>1.6272555716069386</v>
      </c>
      <c r="U7">
        <v>1</v>
      </c>
    </row>
    <row r="8" spans="1:22" x14ac:dyDescent="0.3">
      <c r="A8" s="1">
        <v>1.1239900000000001E-2</v>
      </c>
      <c r="B8" s="2">
        <v>1.0043000000000001E-3</v>
      </c>
      <c r="C8" t="s">
        <v>8</v>
      </c>
      <c r="E8" s="13">
        <v>1.04316261313172E-2</v>
      </c>
      <c r="F8" s="12">
        <f t="shared" si="0"/>
        <v>7.1911126316319629E-2</v>
      </c>
      <c r="G8" s="21">
        <f t="shared" si="1"/>
        <v>0.64772424189394129</v>
      </c>
      <c r="H8" s="6">
        <v>9.76109060187123E-3</v>
      </c>
      <c r="I8" s="12">
        <f t="shared" si="2"/>
        <v>0.13156784296379598</v>
      </c>
      <c r="J8" s="21">
        <f t="shared" si="3"/>
        <v>2.1681907060755714</v>
      </c>
      <c r="K8" s="6">
        <v>9.9564106581864296E-3</v>
      </c>
      <c r="L8" s="12">
        <f t="shared" si="4"/>
        <v>0.11419045915119982</v>
      </c>
      <c r="M8" s="21">
        <f t="shared" si="5"/>
        <v>1.6332685816111041</v>
      </c>
      <c r="N8" s="6">
        <v>7.20135810629272E-3</v>
      </c>
      <c r="O8" s="12">
        <f t="shared" si="6"/>
        <v>0.35930407687855587</v>
      </c>
      <c r="P8" s="21">
        <f t="shared" si="7"/>
        <v>16.170455716342047</v>
      </c>
      <c r="Q8" s="2"/>
      <c r="S8" s="6">
        <v>5.7869304999029897E-3</v>
      </c>
      <c r="T8" s="5">
        <f t="shared" si="8"/>
        <v>0.64069592312144408</v>
      </c>
      <c r="U8">
        <v>1</v>
      </c>
    </row>
    <row r="9" spans="1:22" x14ac:dyDescent="0.3">
      <c r="A9" s="1">
        <v>1.8503499999999999E-2</v>
      </c>
      <c r="B9" s="2">
        <v>1.1364999999999999E-3</v>
      </c>
      <c r="C9" t="s">
        <v>9</v>
      </c>
      <c r="E9" s="13">
        <v>1.4869288531638001E-2</v>
      </c>
      <c r="F9" s="12">
        <f t="shared" si="0"/>
        <v>0.19640670512940789</v>
      </c>
      <c r="G9" s="21">
        <f t="shared" si="1"/>
        <v>10.225428326657124</v>
      </c>
      <c r="H9" s="6">
        <v>1.42872318928585E-2</v>
      </c>
      <c r="I9" s="12">
        <f t="shared" si="2"/>
        <v>0.22786327490158614</v>
      </c>
      <c r="J9" s="21">
        <f t="shared" si="3"/>
        <v>13.763140980181136</v>
      </c>
      <c r="K9" s="6">
        <v>1.31385734348714E-2</v>
      </c>
      <c r="L9" s="12">
        <f t="shared" si="4"/>
        <v>0.28994117681133835</v>
      </c>
      <c r="M9" s="21">
        <f t="shared" si="5"/>
        <v>22.283770825033638</v>
      </c>
      <c r="N9" s="6">
        <v>1.43460767313852E-2</v>
      </c>
      <c r="O9" s="12">
        <f t="shared" si="6"/>
        <v>0.22468307447860131</v>
      </c>
      <c r="P9" s="21">
        <f t="shared" si="7"/>
        <v>13.381648092496734</v>
      </c>
      <c r="Q9" s="2"/>
      <c r="S9" s="6">
        <v>1.16529236996735E-2</v>
      </c>
      <c r="T9" s="5">
        <f t="shared" si="8"/>
        <v>0.77531692552139864</v>
      </c>
      <c r="U9">
        <v>1</v>
      </c>
    </row>
    <row r="10" spans="1:22" x14ac:dyDescent="0.3">
      <c r="A10" s="1">
        <v>1.8006600000000001E-2</v>
      </c>
      <c r="B10" s="2">
        <v>2.6561000000000002E-3</v>
      </c>
      <c r="C10" t="s">
        <v>10</v>
      </c>
      <c r="E10" s="13">
        <v>5.7967469205163401E-2</v>
      </c>
      <c r="F10" s="12">
        <f t="shared" si="0"/>
        <v>2.2192345698334717</v>
      </c>
      <c r="G10" s="21">
        <f t="shared" si="1"/>
        <v>226.3502657241618</v>
      </c>
      <c r="H10" s="6">
        <v>4.63470714836937E-2</v>
      </c>
      <c r="I10" s="12">
        <f t="shared" si="2"/>
        <v>1.5738935436836325</v>
      </c>
      <c r="J10" s="21">
        <f t="shared" si="3"/>
        <v>113.8479719050666</v>
      </c>
      <c r="K10" s="6">
        <v>3.99171833873481E-2</v>
      </c>
      <c r="L10" s="12">
        <f t="shared" si="4"/>
        <v>1.2168084695249575</v>
      </c>
      <c r="M10" s="21">
        <f t="shared" si="5"/>
        <v>68.048575555532594</v>
      </c>
      <c r="N10" s="6">
        <v>4.8483125116914098E-2</v>
      </c>
      <c r="O10" s="12">
        <f t="shared" si="6"/>
        <v>1.6925196937186417</v>
      </c>
      <c r="P10" s="21">
        <f t="shared" si="7"/>
        <v>131.65642322584492</v>
      </c>
      <c r="Q10" s="2"/>
      <c r="S10" s="6">
        <v>4.5476692885099999E-2</v>
      </c>
      <c r="T10" s="5">
        <f t="shared" si="8"/>
        <v>2.692519693718642</v>
      </c>
      <c r="U10">
        <v>1</v>
      </c>
    </row>
    <row r="11" spans="1:22" x14ac:dyDescent="0.3">
      <c r="A11" s="1">
        <v>1.4979900000000001E-2</v>
      </c>
      <c r="B11" s="2">
        <v>1.0068E-3</v>
      </c>
      <c r="C11" t="s">
        <v>11</v>
      </c>
      <c r="E11" s="13">
        <v>1.1164563016022699E-2</v>
      </c>
      <c r="F11" s="12">
        <f t="shared" si="0"/>
        <v>0.25469709303648896</v>
      </c>
      <c r="G11" s="21">
        <f t="shared" si="1"/>
        <v>14.36082503626217</v>
      </c>
      <c r="H11" s="6">
        <v>1.07556160325666E-2</v>
      </c>
      <c r="I11" s="12">
        <f t="shared" si="2"/>
        <v>0.28199680688345058</v>
      </c>
      <c r="J11" s="21">
        <f t="shared" si="3"/>
        <v>17.604341962058555</v>
      </c>
      <c r="K11" s="6">
        <v>1.0362765898657599E-2</v>
      </c>
      <c r="L11" s="12">
        <f t="shared" si="4"/>
        <v>0.30822195751256026</v>
      </c>
      <c r="M11" s="21">
        <f t="shared" si="5"/>
        <v>21.030934135146506</v>
      </c>
      <c r="N11" s="6">
        <v>9.6011331809741206E-3</v>
      </c>
      <c r="O11" s="12">
        <f t="shared" si="6"/>
        <v>0.35906560250908748</v>
      </c>
      <c r="P11" s="21">
        <f t="shared" si="7"/>
        <v>28.541646337536644</v>
      </c>
      <c r="Q11" s="2"/>
      <c r="S11" s="6">
        <v>8.4760612203775201E-3</v>
      </c>
      <c r="T11" s="5">
        <f t="shared" si="8"/>
        <v>0.64093439749091252</v>
      </c>
      <c r="U11">
        <v>1</v>
      </c>
    </row>
    <row r="12" spans="1:22" ht="15" thickBot="1" x14ac:dyDescent="0.35">
      <c r="A12" s="14">
        <v>1.5173900000000001E-2</v>
      </c>
      <c r="B12" s="15">
        <v>1.1087E-3</v>
      </c>
      <c r="C12" s="16" t="s">
        <v>12</v>
      </c>
      <c r="D12" s="16"/>
      <c r="E12" s="17">
        <v>2.17422759966058E-2</v>
      </c>
      <c r="F12" s="22">
        <f t="shared" si="0"/>
        <v>0.43287328877914044</v>
      </c>
      <c r="G12" s="23">
        <f t="shared" si="1"/>
        <v>35.098448208700638</v>
      </c>
      <c r="H12" s="24">
        <v>1.9095933450108901E-2</v>
      </c>
      <c r="I12" s="22">
        <f t="shared" si="2"/>
        <v>0.25847234067107994</v>
      </c>
      <c r="J12" s="23">
        <f t="shared" si="3"/>
        <v>12.513952196439277</v>
      </c>
      <c r="K12" s="24">
        <v>1.71846356829575E-2</v>
      </c>
      <c r="L12" s="22">
        <f t="shared" si="4"/>
        <v>0.1325127806929991</v>
      </c>
      <c r="M12" s="23">
        <f t="shared" si="5"/>
        <v>3.2891363327119274</v>
      </c>
      <c r="N12" s="19">
        <v>1.8320568752532299E-2</v>
      </c>
      <c r="O12" s="18">
        <f t="shared" si="6"/>
        <v>0.20737376366868759</v>
      </c>
      <c r="P12" s="25">
        <f t="shared" si="7"/>
        <v>8.0551560793721837</v>
      </c>
      <c r="Q12" s="15"/>
      <c r="R12" s="16"/>
      <c r="S12" s="19">
        <v>1.6189936205511402E-2</v>
      </c>
      <c r="T12" s="20">
        <f t="shared" si="8"/>
        <v>1.2073737636686876</v>
      </c>
      <c r="U12" s="16">
        <v>1</v>
      </c>
    </row>
    <row r="13" spans="1:22" ht="15" thickTop="1" x14ac:dyDescent="0.3">
      <c r="A13" s="7">
        <v>2.5721399999999998E-2</v>
      </c>
      <c r="B13" s="8">
        <v>9.7559999999999997E-4</v>
      </c>
      <c r="C13" s="4" t="s">
        <v>24</v>
      </c>
      <c r="D13" s="4"/>
      <c r="E13" s="13">
        <v>1.5975979872052199E-2</v>
      </c>
      <c r="F13" s="12">
        <f t="shared" si="0"/>
        <v>0.37888373603100139</v>
      </c>
      <c r="G13" s="21">
        <f t="shared" si="1"/>
        <v>99.783228056722294</v>
      </c>
      <c r="H13" s="6">
        <v>1.9151145476942001E-2</v>
      </c>
      <c r="I13" s="12">
        <f t="shared" si="2"/>
        <v>0.25543922659956292</v>
      </c>
      <c r="J13" s="21">
        <f t="shared" si="3"/>
        <v>45.354543961807167</v>
      </c>
      <c r="K13" s="6">
        <v>2.0499988513313701E-2</v>
      </c>
      <c r="L13" s="12">
        <f t="shared" si="4"/>
        <v>0.20299872816745193</v>
      </c>
      <c r="M13" s="21">
        <f t="shared" si="5"/>
        <v>28.643907145438924</v>
      </c>
      <c r="N13" s="6">
        <v>2.0129603218090601E-2</v>
      </c>
      <c r="O13" s="12">
        <f t="shared" si="6"/>
        <v>0.21739861679027572</v>
      </c>
      <c r="P13" s="21">
        <f t="shared" si="7"/>
        <v>32.851800464936396</v>
      </c>
      <c r="Q13" s="8"/>
      <c r="R13" s="4"/>
      <c r="S13" s="6">
        <v>1.87106485455911E-2</v>
      </c>
      <c r="T13" s="5">
        <f t="shared" si="8"/>
        <v>0.78260138320972428</v>
      </c>
      <c r="U13">
        <v>1</v>
      </c>
    </row>
    <row r="14" spans="1:22" x14ac:dyDescent="0.3">
      <c r="A14" s="1">
        <v>1.6666E-2</v>
      </c>
      <c r="B14" s="2">
        <v>1.5355E-3</v>
      </c>
      <c r="C14" t="s">
        <v>3</v>
      </c>
      <c r="E14" s="13">
        <v>1.5249159045334099E-2</v>
      </c>
      <c r="F14" s="12">
        <f t="shared" si="0"/>
        <v>8.5013857834267431E-2</v>
      </c>
      <c r="G14" s="21">
        <f t="shared" si="1"/>
        <v>0.85141748013547247</v>
      </c>
      <c r="H14" s="6">
        <v>2.02380026683853E-2</v>
      </c>
      <c r="I14" s="12">
        <f t="shared" si="2"/>
        <v>0.21432873325244808</v>
      </c>
      <c r="J14" s="21">
        <f t="shared" si="3"/>
        <v>5.411577815408374</v>
      </c>
      <c r="K14" s="6">
        <v>2.07319789930142E-2</v>
      </c>
      <c r="L14" s="12">
        <f t="shared" si="4"/>
        <v>0.24396849832078482</v>
      </c>
      <c r="M14" s="21">
        <f t="shared" si="5"/>
        <v>7.0118177501859096</v>
      </c>
      <c r="N14" s="6">
        <v>2.0709734100026501E-2</v>
      </c>
      <c r="O14" s="12">
        <f t="shared" si="6"/>
        <v>0.24263375135164414</v>
      </c>
      <c r="P14" s="21">
        <f t="shared" si="7"/>
        <v>6.9353045848139718</v>
      </c>
      <c r="Q14" s="2"/>
      <c r="S14" s="6">
        <v>1.64388023181605E-2</v>
      </c>
      <c r="T14" s="5">
        <f t="shared" si="8"/>
        <v>1.2426337513516441</v>
      </c>
      <c r="U14">
        <v>1</v>
      </c>
    </row>
    <row r="15" spans="1:22" x14ac:dyDescent="0.3">
      <c r="A15" s="1">
        <v>3.0313400000000001E-2</v>
      </c>
      <c r="B15" s="2">
        <v>1.7177E-3</v>
      </c>
      <c r="C15" t="s">
        <v>4</v>
      </c>
      <c r="E15" s="13">
        <v>1.7624626564039101E-2</v>
      </c>
      <c r="F15" s="12">
        <f t="shared" si="0"/>
        <v>0.41858628316061214</v>
      </c>
      <c r="G15" s="21">
        <f t="shared" si="1"/>
        <v>54.568831542452678</v>
      </c>
      <c r="H15" s="6">
        <v>2.4521218194131798E-2</v>
      </c>
      <c r="I15" s="12">
        <f t="shared" si="2"/>
        <v>0.19107661317662164</v>
      </c>
      <c r="J15" s="21">
        <f t="shared" si="3"/>
        <v>11.370766436222139</v>
      </c>
      <c r="K15" s="6">
        <v>2.4048801445451799E-2</v>
      </c>
      <c r="L15" s="12">
        <f t="shared" si="4"/>
        <v>0.20666103289463411</v>
      </c>
      <c r="M15" s="21">
        <f t="shared" si="5"/>
        <v>13.301231757638542</v>
      </c>
      <c r="N15" s="6">
        <v>2.38100712948799E-2</v>
      </c>
      <c r="O15" s="12">
        <f t="shared" si="6"/>
        <v>0.21453643290162439</v>
      </c>
      <c r="P15" s="21">
        <f t="shared" si="7"/>
        <v>14.334309584835248</v>
      </c>
      <c r="Q15" s="2"/>
      <c r="S15" s="6">
        <v>2.2835759465161101E-2</v>
      </c>
      <c r="T15" s="5">
        <f t="shared" si="8"/>
        <v>0.78546356709837561</v>
      </c>
      <c r="U15">
        <v>1</v>
      </c>
    </row>
    <row r="16" spans="1:22" x14ac:dyDescent="0.3">
      <c r="A16" s="1">
        <v>2.93309E-2</v>
      </c>
      <c r="B16" s="2">
        <v>1.8599000000000001E-3</v>
      </c>
      <c r="C16" t="s">
        <v>5</v>
      </c>
      <c r="E16" s="13">
        <v>2.1196490074818601E-2</v>
      </c>
      <c r="F16" s="12">
        <f t="shared" si="0"/>
        <v>0.27733243525365397</v>
      </c>
      <c r="G16" s="21">
        <f t="shared" si="1"/>
        <v>19.128147852528993</v>
      </c>
      <c r="H16" s="6">
        <v>2.5806136990122502E-2</v>
      </c>
      <c r="I16" s="12">
        <f t="shared" si="2"/>
        <v>0.12017234417892046</v>
      </c>
      <c r="J16" s="21">
        <f t="shared" si="3"/>
        <v>3.5915395689111227</v>
      </c>
      <c r="K16" s="6">
        <v>2.37074242407708E-2</v>
      </c>
      <c r="L16" s="12">
        <f t="shared" si="4"/>
        <v>0.19172530536837259</v>
      </c>
      <c r="M16" s="21">
        <f t="shared" si="5"/>
        <v>9.1417736914770238</v>
      </c>
      <c r="N16" s="6">
        <v>2.35923150730829E-2</v>
      </c>
      <c r="O16" s="12">
        <f t="shared" si="6"/>
        <v>0.19564980709480786</v>
      </c>
      <c r="P16" s="21">
        <f t="shared" si="7"/>
        <v>9.5198572826773962</v>
      </c>
      <c r="Q16" s="2"/>
      <c r="S16" s="6">
        <v>2.2921234402472301E-2</v>
      </c>
      <c r="T16" s="5">
        <f t="shared" si="8"/>
        <v>0.80435019290519216</v>
      </c>
      <c r="U16">
        <v>1</v>
      </c>
    </row>
    <row r="17" spans="1:21" x14ac:dyDescent="0.3">
      <c r="A17" s="1">
        <v>3.20328E-2</v>
      </c>
      <c r="B17" s="2">
        <v>3.0622000000000002E-3</v>
      </c>
      <c r="C17" t="s">
        <v>6</v>
      </c>
      <c r="E17" s="13">
        <v>2.20903567301842E-2</v>
      </c>
      <c r="F17" s="12">
        <f t="shared" si="0"/>
        <v>0.31038320939211683</v>
      </c>
      <c r="G17" s="21">
        <f t="shared" si="1"/>
        <v>10.541905990049816</v>
      </c>
      <c r="H17" s="6">
        <v>2.1039693460604698E-2</v>
      </c>
      <c r="I17" s="12">
        <f t="shared" si="2"/>
        <v>0.34318281696871022</v>
      </c>
      <c r="J17" s="21">
        <f t="shared" si="3"/>
        <v>12.887651082499222</v>
      </c>
      <c r="K17" s="6">
        <v>2.57125421306823E-2</v>
      </c>
      <c r="L17" s="12">
        <f t="shared" si="4"/>
        <v>0.19730581995072863</v>
      </c>
      <c r="M17" s="21">
        <f t="shared" si="5"/>
        <v>4.2599302848535245</v>
      </c>
      <c r="N17" s="6">
        <v>2.3833298924465399E-2</v>
      </c>
      <c r="O17" s="12">
        <f t="shared" si="6"/>
        <v>0.25597203727225221</v>
      </c>
      <c r="P17" s="21">
        <f t="shared" si="7"/>
        <v>7.1698117007417705</v>
      </c>
      <c r="Q17" s="2"/>
      <c r="S17" s="6">
        <v>1.68182310137945E-2</v>
      </c>
      <c r="T17" s="5">
        <f t="shared" si="8"/>
        <v>0.74402796272774774</v>
      </c>
      <c r="U17">
        <v>1</v>
      </c>
    </row>
    <row r="18" spans="1:21" x14ac:dyDescent="0.3">
      <c r="A18" s="1">
        <v>9.7117999999999996E-3</v>
      </c>
      <c r="B18" s="2">
        <v>3.0381000000000002E-3</v>
      </c>
      <c r="C18" t="s">
        <v>7</v>
      </c>
      <c r="E18" s="13">
        <v>9.2485788845297606E-3</v>
      </c>
      <c r="F18" s="12">
        <f t="shared" si="0"/>
        <v>4.7696731344368609E-2</v>
      </c>
      <c r="G18" s="21">
        <f t="shared" si="1"/>
        <v>2.3247302494497378E-2</v>
      </c>
      <c r="H18" s="6">
        <v>7.4245000350156697E-3</v>
      </c>
      <c r="I18" s="12">
        <f t="shared" si="2"/>
        <v>0.23551761413788691</v>
      </c>
      <c r="J18" s="21">
        <f t="shared" si="3"/>
        <v>0.56681602128303987</v>
      </c>
      <c r="K18" s="6">
        <v>1.25936794962122E-2</v>
      </c>
      <c r="L18" s="12">
        <f t="shared" si="4"/>
        <v>0.29673999631501885</v>
      </c>
      <c r="M18" s="21">
        <f t="shared" si="5"/>
        <v>0.89980314104530612</v>
      </c>
      <c r="N18" s="6">
        <v>1.21224312467757E-2</v>
      </c>
      <c r="O18" s="12">
        <f t="shared" si="6"/>
        <v>0.24821673086098361</v>
      </c>
      <c r="P18" s="21">
        <f t="shared" si="7"/>
        <v>0.62958943822540203</v>
      </c>
      <c r="Q18" s="2"/>
      <c r="R18" s="3"/>
      <c r="S18" s="6">
        <v>1.4609875904405401E-2</v>
      </c>
      <c r="T18" s="5">
        <f t="shared" si="8"/>
        <v>1.2482167308609835</v>
      </c>
      <c r="U18">
        <v>1</v>
      </c>
    </row>
    <row r="19" spans="1:21" x14ac:dyDescent="0.3">
      <c r="A19" s="1">
        <v>2.4831099999999998E-2</v>
      </c>
      <c r="B19" s="2">
        <v>1.4924999999999999E-3</v>
      </c>
      <c r="C19" t="s">
        <v>8</v>
      </c>
      <c r="E19" s="13">
        <v>1.09351522380351E-2</v>
      </c>
      <c r="F19" s="12">
        <f t="shared" si="0"/>
        <v>0.55961869437781242</v>
      </c>
      <c r="G19" s="21">
        <f t="shared" si="1"/>
        <v>86.685741023714797</v>
      </c>
      <c r="H19" s="6">
        <v>1.48812861906802E-2</v>
      </c>
      <c r="I19" s="12">
        <f t="shared" si="2"/>
        <v>0.40069967940686474</v>
      </c>
      <c r="J19" s="21">
        <f t="shared" si="3"/>
        <v>44.442781115013808</v>
      </c>
      <c r="K19" s="6">
        <v>1.63605953357535E-2</v>
      </c>
      <c r="L19" s="12">
        <f t="shared" si="4"/>
        <v>0.34112482589359711</v>
      </c>
      <c r="M19" s="21">
        <f t="shared" si="5"/>
        <v>32.209938252747463</v>
      </c>
      <c r="N19" s="6">
        <v>1.23656918740906E-2</v>
      </c>
      <c r="O19" s="12">
        <f t="shared" si="6"/>
        <v>0.50200789034353688</v>
      </c>
      <c r="P19" s="21">
        <f t="shared" si="7"/>
        <v>69.756442624283039</v>
      </c>
      <c r="Q19" s="2"/>
      <c r="S19" s="6">
        <v>1.0057770084522801E-2</v>
      </c>
      <c r="T19" s="5">
        <f t="shared" si="8"/>
        <v>0.49799210965646312</v>
      </c>
      <c r="U19">
        <v>1</v>
      </c>
    </row>
    <row r="20" spans="1:21" x14ac:dyDescent="0.3">
      <c r="A20" s="1">
        <v>2.5520299999999999E-2</v>
      </c>
      <c r="B20" s="2">
        <v>1.3236999999999999E-3</v>
      </c>
      <c r="C20" t="s">
        <v>9</v>
      </c>
      <c r="E20" s="13">
        <v>1.6051607938616898E-2</v>
      </c>
      <c r="F20" s="12">
        <f t="shared" si="0"/>
        <v>0.37102589159935823</v>
      </c>
      <c r="G20" s="21">
        <f t="shared" si="1"/>
        <v>51.168283440571372</v>
      </c>
      <c r="H20" s="6">
        <v>2.27199265944555E-2</v>
      </c>
      <c r="I20" s="12">
        <f t="shared" si="2"/>
        <v>0.1097312102735665</v>
      </c>
      <c r="J20" s="21">
        <f t="shared" si="3"/>
        <v>4.4756153173138662</v>
      </c>
      <c r="K20" s="6">
        <v>2.21968760696989E-2</v>
      </c>
      <c r="L20" s="12">
        <f t="shared" si="4"/>
        <v>0.13022667955710157</v>
      </c>
      <c r="M20" s="21">
        <f t="shared" si="5"/>
        <v>6.3036537155561785</v>
      </c>
      <c r="N20" s="6">
        <v>2.3724802271615501E-2</v>
      </c>
      <c r="O20" s="12">
        <f t="shared" si="6"/>
        <v>7.0355666993902846E-2</v>
      </c>
      <c r="P20" s="21">
        <f t="shared" si="7"/>
        <v>1.8398845913256261</v>
      </c>
      <c r="Q20" s="2"/>
      <c r="S20" s="6">
        <v>1.9821480351648602E-2</v>
      </c>
      <c r="T20" s="5">
        <f t="shared" si="8"/>
        <v>0.92964433300609717</v>
      </c>
      <c r="U20">
        <v>1</v>
      </c>
    </row>
    <row r="21" spans="1:21" x14ac:dyDescent="0.3">
      <c r="A21" s="1">
        <v>3.1646800000000003E-2</v>
      </c>
      <c r="B21" s="2">
        <v>3.4367E-3</v>
      </c>
      <c r="C21" t="s">
        <v>10</v>
      </c>
      <c r="E21" s="13">
        <v>6.4041579965589998E-2</v>
      </c>
      <c r="F21" s="12">
        <f t="shared" si="0"/>
        <v>1.0236352479742026</v>
      </c>
      <c r="G21" s="21">
        <f t="shared" si="1"/>
        <v>88.851921261652663</v>
      </c>
      <c r="H21" s="6">
        <v>7.6400741531984895E-2</v>
      </c>
      <c r="I21" s="12">
        <f t="shared" si="2"/>
        <v>1.4141695694978604</v>
      </c>
      <c r="J21" s="21">
        <f t="shared" si="3"/>
        <v>169.58183662798498</v>
      </c>
      <c r="K21" s="6">
        <v>7.2015330970986502E-2</v>
      </c>
      <c r="L21" s="12">
        <f t="shared" si="4"/>
        <v>1.2755959835113344</v>
      </c>
      <c r="M21" s="21">
        <f t="shared" si="5"/>
        <v>137.9757124438305</v>
      </c>
      <c r="N21" s="6">
        <v>7.8072539618911696E-2</v>
      </c>
      <c r="O21" s="12">
        <f t="shared" si="6"/>
        <v>1.4669963351400992</v>
      </c>
      <c r="P21" s="21">
        <f t="shared" si="7"/>
        <v>182.48804424898711</v>
      </c>
      <c r="Q21" s="2"/>
      <c r="S21" s="6">
        <v>7.5533629335439806E-2</v>
      </c>
      <c r="T21" s="5">
        <f t="shared" si="8"/>
        <v>2.4669963351400992</v>
      </c>
      <c r="U21">
        <v>1</v>
      </c>
    </row>
    <row r="22" spans="1:21" x14ac:dyDescent="0.3">
      <c r="A22" s="1">
        <v>2.42724E-2</v>
      </c>
      <c r="B22" s="2">
        <v>1.2865000000000001E-3</v>
      </c>
      <c r="C22" t="s">
        <v>11</v>
      </c>
      <c r="E22" s="13">
        <v>1.19935887602161E-2</v>
      </c>
      <c r="F22" s="12">
        <f t="shared" si="0"/>
        <v>0.5058754486488316</v>
      </c>
      <c r="G22" s="21">
        <f t="shared" si="1"/>
        <v>91.094690588484909</v>
      </c>
      <c r="H22" s="6">
        <v>1.69350522753626E-2</v>
      </c>
      <c r="I22" s="12">
        <f t="shared" si="2"/>
        <v>0.30229180981845222</v>
      </c>
      <c r="J22" s="21">
        <f t="shared" si="3"/>
        <v>32.528094378537148</v>
      </c>
      <c r="K22" s="6">
        <v>1.7690023392130098E-2</v>
      </c>
      <c r="L22" s="12">
        <f t="shared" si="4"/>
        <v>0.27118771146940152</v>
      </c>
      <c r="M22" s="21">
        <f t="shared" si="5"/>
        <v>26.178567142408095</v>
      </c>
      <c r="N22" s="6">
        <v>1.6052674220589199E-2</v>
      </c>
      <c r="O22" s="12">
        <f t="shared" si="6"/>
        <v>0.3386449539151794</v>
      </c>
      <c r="P22" s="21">
        <f t="shared" si="7"/>
        <v>40.822075089446749</v>
      </c>
      <c r="Q22" s="2"/>
      <c r="S22" s="6">
        <v>1.4062243686305501E-2</v>
      </c>
      <c r="T22" s="5">
        <f t="shared" si="8"/>
        <v>0.66135504608482054</v>
      </c>
      <c r="U22">
        <v>1</v>
      </c>
    </row>
    <row r="23" spans="1:21" ht="15" thickBot="1" x14ac:dyDescent="0.35">
      <c r="A23" s="14">
        <v>2.7297399999999999E-2</v>
      </c>
      <c r="B23" s="15">
        <v>1.4748000000000001E-3</v>
      </c>
      <c r="C23" s="16" t="s">
        <v>12</v>
      </c>
      <c r="D23" s="16"/>
      <c r="E23" s="17">
        <v>2.3166702243597698E-2</v>
      </c>
      <c r="F23" s="22">
        <f t="shared" si="0"/>
        <v>0.15132202174574505</v>
      </c>
      <c r="G23" s="23">
        <f t="shared" si="1"/>
        <v>7.8447765856438805</v>
      </c>
      <c r="H23" s="24">
        <v>3.00769806998923E-2</v>
      </c>
      <c r="I23" s="22">
        <f t="shared" si="2"/>
        <v>0.10182584055229804</v>
      </c>
      <c r="J23" s="23">
        <f t="shared" si="3"/>
        <v>3.5521583446369536</v>
      </c>
      <c r="K23" s="24">
        <v>2.9168629451197799E-2</v>
      </c>
      <c r="L23" s="22">
        <f t="shared" si="4"/>
        <v>6.8549731886472703E-2</v>
      </c>
      <c r="M23" s="23">
        <f t="shared" si="5"/>
        <v>1.6098589653204018</v>
      </c>
      <c r="N23" s="19">
        <v>2.98703378490217E-2</v>
      </c>
      <c r="O23" s="18">
        <f t="shared" si="6"/>
        <v>9.4255784397843795E-2</v>
      </c>
      <c r="P23" s="25">
        <f t="shared" si="7"/>
        <v>3.0436333452947113</v>
      </c>
      <c r="Q23" s="15"/>
      <c r="R23" s="16"/>
      <c r="S23" s="19">
        <v>2.6941519910102601E-2</v>
      </c>
      <c r="T23" s="20">
        <f t="shared" si="8"/>
        <v>1.0942557843978438</v>
      </c>
      <c r="U23" s="16">
        <v>1</v>
      </c>
    </row>
    <row r="24" spans="1:21" ht="15" thickTop="1" x14ac:dyDescent="0.3">
      <c r="A24" s="7">
        <v>1.5424054E-2</v>
      </c>
      <c r="B24" s="8">
        <v>5.4775699999999995E-4</v>
      </c>
      <c r="C24" s="4" t="s">
        <v>13</v>
      </c>
      <c r="D24" s="4"/>
      <c r="E24" s="13">
        <v>2.0453340956262899E-2</v>
      </c>
      <c r="F24" s="12">
        <f t="shared" si="0"/>
        <v>0.32606777415735838</v>
      </c>
      <c r="G24" s="21">
        <f t="shared" si="1"/>
        <v>84.301821640910063</v>
      </c>
      <c r="H24" s="6">
        <v>1.49366661462365E-2</v>
      </c>
      <c r="I24" s="12">
        <f t="shared" si="2"/>
        <v>3.1599205615041266E-2</v>
      </c>
      <c r="J24" s="21">
        <f t="shared" si="3"/>
        <v>0.79172349146113274</v>
      </c>
      <c r="K24" s="6">
        <v>1.3622765968888201E-2</v>
      </c>
      <c r="L24" s="12">
        <f t="shared" si="4"/>
        <v>0.11678434418809729</v>
      </c>
      <c r="M24" s="21">
        <f t="shared" si="5"/>
        <v>10.814101812070863</v>
      </c>
      <c r="N24" s="6">
        <v>1.3658377289610901E-2</v>
      </c>
      <c r="O24" s="12">
        <f t="shared" si="6"/>
        <v>0.11447552701702801</v>
      </c>
      <c r="P24" s="21">
        <f t="shared" si="7"/>
        <v>10.390740640220761</v>
      </c>
      <c r="Q24" s="8"/>
      <c r="R24" s="9"/>
      <c r="S24" s="6">
        <v>1.4082693621563501E-2</v>
      </c>
      <c r="T24" s="5">
        <f t="shared" si="8"/>
        <v>0.88552447298297199</v>
      </c>
      <c r="U24">
        <v>1</v>
      </c>
    </row>
    <row r="25" spans="1:21" x14ac:dyDescent="0.3">
      <c r="A25" s="1">
        <v>1.25168E-2</v>
      </c>
      <c r="B25" s="2">
        <v>8.3600000000000005E-4</v>
      </c>
      <c r="C25" t="s">
        <v>3</v>
      </c>
      <c r="E25" s="13">
        <v>1.8030154576929101E-2</v>
      </c>
      <c r="F25" s="12">
        <f t="shared" si="0"/>
        <v>0.44047636591853362</v>
      </c>
      <c r="G25" s="21">
        <f t="shared" si="1"/>
        <v>43.492992792840518</v>
      </c>
      <c r="H25" s="6">
        <v>1.1692675579052399E-2</v>
      </c>
      <c r="I25" s="12">
        <f t="shared" si="2"/>
        <v>6.5841462749872209E-2</v>
      </c>
      <c r="J25" s="21">
        <f t="shared" si="3"/>
        <v>0.97179131258759188</v>
      </c>
      <c r="K25" s="6">
        <v>1.3180426489906799E-2</v>
      </c>
      <c r="L25" s="12">
        <f t="shared" si="4"/>
        <v>5.3018861842228017E-2</v>
      </c>
      <c r="M25" s="21">
        <f t="shared" si="5"/>
        <v>0.6301368416846278</v>
      </c>
      <c r="N25" s="6">
        <v>1.4677876442862701E-2</v>
      </c>
      <c r="O25" s="12">
        <f t="shared" si="6"/>
        <v>0.17265406836113872</v>
      </c>
      <c r="P25" s="21">
        <f t="shared" si="7"/>
        <v>6.6823266865114475</v>
      </c>
      <c r="Q25" s="2"/>
      <c r="S25" s="6">
        <v>1.4331586043151601E-2</v>
      </c>
      <c r="T25" s="5">
        <f t="shared" si="8"/>
        <v>1.1726540683611386</v>
      </c>
      <c r="U25">
        <v>1</v>
      </c>
    </row>
    <row r="26" spans="1:21" x14ac:dyDescent="0.3">
      <c r="A26" s="1">
        <v>1.7689300000000002E-2</v>
      </c>
      <c r="B26" s="2">
        <v>1.016E-3</v>
      </c>
      <c r="C26" t="s">
        <v>4</v>
      </c>
      <c r="E26" s="13">
        <v>1.8884949531467701E-2</v>
      </c>
      <c r="F26" s="12">
        <f t="shared" si="0"/>
        <v>6.7591681494898026E-2</v>
      </c>
      <c r="G26" s="21">
        <f t="shared" si="1"/>
        <v>1.3849062655958697</v>
      </c>
      <c r="H26" s="6">
        <v>1.8084185854612401E-2</v>
      </c>
      <c r="I26" s="12">
        <f t="shared" si="2"/>
        <v>2.2323430243842281E-2</v>
      </c>
      <c r="J26" s="21">
        <f t="shared" si="3"/>
        <v>0.15106217660441301</v>
      </c>
      <c r="K26" s="6">
        <v>1.71909497866666E-2</v>
      </c>
      <c r="L26" s="12">
        <f t="shared" si="4"/>
        <v>2.8172410063337785E-2</v>
      </c>
      <c r="M26" s="21">
        <f t="shared" si="5"/>
        <v>0.24059238709142541</v>
      </c>
      <c r="N26" s="6">
        <v>1.6758044901101402E-2</v>
      </c>
      <c r="O26" s="12">
        <f t="shared" si="6"/>
        <v>5.2645107432097368E-2</v>
      </c>
      <c r="P26" s="21">
        <f t="shared" si="7"/>
        <v>0.8401366126470966</v>
      </c>
      <c r="Q26" s="2"/>
      <c r="S26" s="6">
        <v>1.47572339591443E-2</v>
      </c>
      <c r="T26" s="5">
        <f t="shared" si="8"/>
        <v>0.94735489256790262</v>
      </c>
      <c r="U26">
        <v>1</v>
      </c>
    </row>
    <row r="27" spans="1:21" x14ac:dyDescent="0.3">
      <c r="A27" s="1">
        <v>1.82749E-2</v>
      </c>
      <c r="B27" s="2">
        <v>1.1806E-3</v>
      </c>
      <c r="C27" t="s">
        <v>5</v>
      </c>
      <c r="E27" s="13">
        <v>2.3482097093722901E-2</v>
      </c>
      <c r="F27" s="12">
        <f t="shared" si="0"/>
        <v>0.28493710464751659</v>
      </c>
      <c r="G27" s="21">
        <f t="shared" si="1"/>
        <v>19.453711658884696</v>
      </c>
      <c r="H27" s="6">
        <v>1.61000879133733E-2</v>
      </c>
      <c r="I27" s="12">
        <f t="shared" si="2"/>
        <v>0.11900541653452006</v>
      </c>
      <c r="J27" s="21">
        <f t="shared" si="3"/>
        <v>3.3934223674470165</v>
      </c>
      <c r="K27" s="6">
        <v>1.7368381537183401E-2</v>
      </c>
      <c r="L27" s="12">
        <f t="shared" si="4"/>
        <v>4.9604564884984298E-2</v>
      </c>
      <c r="M27" s="21">
        <f t="shared" si="5"/>
        <v>0.58958679709238782</v>
      </c>
      <c r="N27" s="6">
        <v>1.48426632323848E-2</v>
      </c>
      <c r="O27" s="12">
        <f t="shared" si="6"/>
        <v>0.18781152113637833</v>
      </c>
      <c r="P27" s="21">
        <f t="shared" si="7"/>
        <v>8.4517943446794099</v>
      </c>
      <c r="Q27" s="2"/>
      <c r="S27" s="6">
        <v>1.22840919019811E-2</v>
      </c>
      <c r="T27" s="5">
        <f t="shared" si="8"/>
        <v>0.81218847886362167</v>
      </c>
      <c r="U27">
        <v>1</v>
      </c>
    </row>
    <row r="28" spans="1:21" x14ac:dyDescent="0.3">
      <c r="A28" s="1">
        <v>1.3127700000000001E-2</v>
      </c>
      <c r="B28" s="2">
        <v>1.3962E-3</v>
      </c>
      <c r="C28" t="s">
        <v>6</v>
      </c>
      <c r="E28" s="13">
        <v>1.8506433102067801E-2</v>
      </c>
      <c r="F28" s="12">
        <f t="shared" si="0"/>
        <v>0.40972395027825137</v>
      </c>
      <c r="G28" s="21">
        <f t="shared" si="1"/>
        <v>14.841053206422417</v>
      </c>
      <c r="H28" s="6">
        <v>1.32945543160733E-2</v>
      </c>
      <c r="I28" s="12">
        <f t="shared" si="2"/>
        <v>1.2710095147916142E-2</v>
      </c>
      <c r="J28" s="21">
        <f t="shared" si="3"/>
        <v>1.4281690690623954E-2</v>
      </c>
      <c r="K28" s="6">
        <v>1.49956632978883E-2</v>
      </c>
      <c r="L28" s="12">
        <f t="shared" si="4"/>
        <v>0.14229174172842915</v>
      </c>
      <c r="M28" s="21">
        <f t="shared" si="5"/>
        <v>1.7899521049725733</v>
      </c>
      <c r="N28" s="6">
        <v>1.05530390778312E-2</v>
      </c>
      <c r="O28" s="12">
        <f t="shared" si="6"/>
        <v>0.19612429611956403</v>
      </c>
      <c r="P28" s="21">
        <f t="shared" si="7"/>
        <v>3.4005159440497743</v>
      </c>
      <c r="Q28" s="2"/>
      <c r="S28" s="6">
        <v>1.0573719085201E-2</v>
      </c>
      <c r="T28" s="5">
        <f t="shared" si="8"/>
        <v>0.80387570388043594</v>
      </c>
      <c r="U28">
        <v>1</v>
      </c>
    </row>
    <row r="29" spans="1:21" x14ac:dyDescent="0.3">
      <c r="A29" s="1">
        <v>1.08083E-2</v>
      </c>
      <c r="B29" s="2">
        <v>3.7407999999999999E-3</v>
      </c>
      <c r="C29" t="s">
        <v>7</v>
      </c>
      <c r="E29" s="13">
        <v>2.3095223795774701E-2</v>
      </c>
      <c r="F29" s="12">
        <f t="shared" si="0"/>
        <v>1.1368044739482344</v>
      </c>
      <c r="G29" s="21">
        <f t="shared" si="1"/>
        <v>10.78840770588819</v>
      </c>
      <c r="H29" s="6">
        <v>1.47668474681919E-2</v>
      </c>
      <c r="I29" s="12">
        <f t="shared" si="2"/>
        <v>0.36625070253341413</v>
      </c>
      <c r="J29" s="21">
        <f t="shared" si="3"/>
        <v>1.1198058582599535</v>
      </c>
      <c r="K29" s="6">
        <v>7.39982292116571E-3</v>
      </c>
      <c r="L29" s="12">
        <f t="shared" si="4"/>
        <v>0.31535737154171239</v>
      </c>
      <c r="M29" s="21">
        <f t="shared" si="5"/>
        <v>0.83021729569777591</v>
      </c>
      <c r="N29" s="6">
        <v>9.8364913454210799E-3</v>
      </c>
      <c r="O29" s="12">
        <f t="shared" si="6"/>
        <v>8.9913182885275195E-2</v>
      </c>
      <c r="P29" s="21">
        <f t="shared" si="7"/>
        <v>6.7488930492829793E-2</v>
      </c>
      <c r="Q29" s="2"/>
      <c r="S29" s="6">
        <v>1.56543174451623E-2</v>
      </c>
      <c r="T29" s="5">
        <f t="shared" si="8"/>
        <v>0.91008681711472483</v>
      </c>
      <c r="U29">
        <v>1</v>
      </c>
    </row>
    <row r="30" spans="1:21" x14ac:dyDescent="0.3">
      <c r="A30" s="1">
        <v>1.3020800000000001E-2</v>
      </c>
      <c r="B30" s="2">
        <v>7.5210000000000001E-4</v>
      </c>
      <c r="C30" t="s">
        <v>8</v>
      </c>
      <c r="E30" s="13">
        <v>1.4897770821977701E-2</v>
      </c>
      <c r="F30" s="12">
        <f t="shared" si="0"/>
        <v>0.14415172815631142</v>
      </c>
      <c r="G30" s="21">
        <f t="shared" si="1"/>
        <v>6.228218863449932</v>
      </c>
      <c r="H30" s="6">
        <v>1.1321106039603601E-2</v>
      </c>
      <c r="I30" s="12">
        <f t="shared" si="2"/>
        <v>0.13053683033272917</v>
      </c>
      <c r="J30" s="21">
        <f t="shared" si="3"/>
        <v>5.1072872551422313</v>
      </c>
      <c r="K30" s="6">
        <v>1.15727404229676E-2</v>
      </c>
      <c r="L30" s="12">
        <f t="shared" si="4"/>
        <v>0.11121126021691453</v>
      </c>
      <c r="M30" s="21">
        <f t="shared" si="5"/>
        <v>3.7069922934663508</v>
      </c>
      <c r="N30" s="6">
        <v>1.1897508445933E-2</v>
      </c>
      <c r="O30" s="12">
        <f t="shared" si="6"/>
        <v>8.626901220101689E-2</v>
      </c>
      <c r="P30" s="21">
        <f t="shared" si="7"/>
        <v>2.2306622084644543</v>
      </c>
      <c r="Q30" s="2"/>
      <c r="S30" s="6">
        <v>1.0741740043752101E-2</v>
      </c>
      <c r="T30" s="5">
        <f t="shared" si="8"/>
        <v>0.9137309877989831</v>
      </c>
      <c r="U30">
        <v>1</v>
      </c>
    </row>
    <row r="31" spans="1:21" x14ac:dyDescent="0.3">
      <c r="A31" s="1">
        <v>1.6751700000000001E-2</v>
      </c>
      <c r="B31" s="2">
        <v>7.6800000000000002E-4</v>
      </c>
      <c r="C31" t="s">
        <v>9</v>
      </c>
      <c r="E31" s="13">
        <v>1.9644602641072598E-2</v>
      </c>
      <c r="F31" s="12">
        <f t="shared" si="0"/>
        <v>0.17269307837846887</v>
      </c>
      <c r="G31" s="21">
        <f t="shared" si="1"/>
        <v>14.188784604771604</v>
      </c>
      <c r="H31" s="6">
        <v>1.5234193184982E-2</v>
      </c>
      <c r="I31" s="12">
        <f t="shared" si="2"/>
        <v>9.0588227763033061E-2</v>
      </c>
      <c r="J31" s="21">
        <f t="shared" si="3"/>
        <v>3.9042611586271114</v>
      </c>
      <c r="K31" s="6">
        <v>1.58548372722708E-2</v>
      </c>
      <c r="L31" s="12">
        <f t="shared" si="4"/>
        <v>5.3538609677179119E-2</v>
      </c>
      <c r="M31" s="21">
        <f t="shared" si="5"/>
        <v>1.3637335076054278</v>
      </c>
      <c r="N31" s="6">
        <v>1.6853610043942199E-2</v>
      </c>
      <c r="O31" s="12">
        <f t="shared" si="6"/>
        <v>6.0835642915165198E-3</v>
      </c>
      <c r="P31" s="21">
        <f t="shared" si="7"/>
        <v>1.7608061144172807E-2</v>
      </c>
      <c r="Q31" s="2"/>
      <c r="S31" s="6">
        <v>1.5984109169807401E-2</v>
      </c>
      <c r="T31" s="5">
        <f t="shared" si="8"/>
        <v>1.0060835642915165</v>
      </c>
      <c r="U31">
        <v>1</v>
      </c>
    </row>
    <row r="32" spans="1:21" x14ac:dyDescent="0.3">
      <c r="A32" s="1">
        <v>1.9210000000000001E-2</v>
      </c>
      <c r="B32" s="2">
        <v>1.9036999999999999E-3</v>
      </c>
      <c r="C32" t="s">
        <v>10</v>
      </c>
      <c r="E32" s="13">
        <v>3.9120880480291803E-2</v>
      </c>
      <c r="F32" s="12">
        <f t="shared" si="0"/>
        <v>1.0364851889792712</v>
      </c>
      <c r="G32" s="21">
        <f t="shared" si="1"/>
        <v>109.39158400514343</v>
      </c>
      <c r="H32" s="6">
        <v>3.17039862686656E-2</v>
      </c>
      <c r="I32" s="12">
        <f t="shared" si="2"/>
        <v>0.65038970685401343</v>
      </c>
      <c r="J32" s="21">
        <f t="shared" si="3"/>
        <v>43.072990847932935</v>
      </c>
      <c r="K32" s="6">
        <v>3.3834225831265899E-2</v>
      </c>
      <c r="L32" s="12">
        <f t="shared" si="4"/>
        <v>0.76128192770775094</v>
      </c>
      <c r="M32" s="21">
        <f t="shared" si="5"/>
        <v>59.013143621774624</v>
      </c>
      <c r="N32" s="6">
        <v>3.6415401802054999E-2</v>
      </c>
      <c r="O32" s="12">
        <f t="shared" si="6"/>
        <v>0.89564819375611637</v>
      </c>
      <c r="P32" s="21">
        <f t="shared" si="7"/>
        <v>81.683176583022899</v>
      </c>
      <c r="Q32" s="2"/>
      <c r="S32" s="6">
        <v>3.7136740371499499E-2</v>
      </c>
      <c r="T32" s="5">
        <f t="shared" si="8"/>
        <v>1.8956481937561165</v>
      </c>
      <c r="U32">
        <v>1</v>
      </c>
    </row>
    <row r="33" spans="1:21" x14ac:dyDescent="0.3">
      <c r="A33" s="1">
        <v>1.4405599999999999E-2</v>
      </c>
      <c r="B33" s="2">
        <v>7.3700000000000002E-4</v>
      </c>
      <c r="C33" t="s">
        <v>11</v>
      </c>
      <c r="E33" s="13">
        <v>1.63338294269075E-2</v>
      </c>
      <c r="F33" s="12">
        <f t="shared" si="0"/>
        <v>0.13385276745900906</v>
      </c>
      <c r="G33" s="21">
        <f t="shared" si="1"/>
        <v>6.8451416093186985</v>
      </c>
      <c r="H33" s="6">
        <v>1.27542670707862E-2</v>
      </c>
      <c r="I33" s="12">
        <f t="shared" si="2"/>
        <v>0.11463131901578552</v>
      </c>
      <c r="J33" s="21">
        <f t="shared" si="3"/>
        <v>5.0203535973257463</v>
      </c>
      <c r="K33" s="6">
        <v>1.30403362260625E-2</v>
      </c>
      <c r="L33" s="12">
        <f t="shared" si="4"/>
        <v>9.477312808473784E-2</v>
      </c>
      <c r="M33" s="21">
        <f t="shared" si="5"/>
        <v>3.4316118416663386</v>
      </c>
      <c r="N33" s="6">
        <v>1.3031834262926799E-2</v>
      </c>
      <c r="O33" s="12">
        <f t="shared" si="6"/>
        <v>9.5363312675154119E-2</v>
      </c>
      <c r="P33" s="21">
        <f t="shared" si="7"/>
        <v>3.4744845533457775</v>
      </c>
      <c r="Q33" s="2"/>
      <c r="S33" s="6">
        <v>1.15644910461206E-2</v>
      </c>
      <c r="T33" s="5">
        <f t="shared" si="8"/>
        <v>0.90463668732484592</v>
      </c>
      <c r="U33">
        <v>1</v>
      </c>
    </row>
    <row r="34" spans="1:21" ht="15" thickBot="1" x14ac:dyDescent="0.35">
      <c r="A34" s="14">
        <v>1.65522E-2</v>
      </c>
      <c r="B34" s="15">
        <v>7.7260000000000002E-4</v>
      </c>
      <c r="C34" s="16" t="s">
        <v>12</v>
      </c>
      <c r="D34" s="16"/>
      <c r="E34" s="17">
        <v>2.22677721309632E-2</v>
      </c>
      <c r="F34" s="22">
        <f t="shared" si="0"/>
        <v>0.34530588870139323</v>
      </c>
      <c r="G34" s="23">
        <f t="shared" si="1"/>
        <v>54.728054800424808</v>
      </c>
      <c r="H34" s="24">
        <v>1.7947710336348101E-2</v>
      </c>
      <c r="I34" s="22">
        <f t="shared" si="2"/>
        <v>8.4309658918337221E-2</v>
      </c>
      <c r="J34" s="23">
        <f t="shared" si="3"/>
        <v>3.2625464799032788</v>
      </c>
      <c r="K34" s="24">
        <v>1.84383284009417E-2</v>
      </c>
      <c r="L34" s="22">
        <f t="shared" si="4"/>
        <v>0.11395031481867672</v>
      </c>
      <c r="M34" s="23">
        <f t="shared" si="5"/>
        <v>5.95981942901967</v>
      </c>
      <c r="N34" s="19">
        <v>1.89130025810521E-2</v>
      </c>
      <c r="O34" s="18">
        <f t="shared" si="6"/>
        <v>0.14262772205822194</v>
      </c>
      <c r="P34" s="25">
        <f t="shared" si="7"/>
        <v>9.3370553861388945</v>
      </c>
      <c r="Q34" s="15"/>
      <c r="R34" s="16"/>
      <c r="S34" s="19">
        <v>1.78003262247672E-2</v>
      </c>
      <c r="T34" s="20">
        <f t="shared" si="8"/>
        <v>1.1426277220582219</v>
      </c>
      <c r="U34" s="16">
        <v>1</v>
      </c>
    </row>
    <row r="35" spans="1:21" ht="15" thickTop="1" x14ac:dyDescent="0.3">
      <c r="A35" s="7">
        <v>0.16382250000000001</v>
      </c>
      <c r="B35" s="8">
        <v>2.17223E-2</v>
      </c>
      <c r="C35" s="4" t="s">
        <v>14</v>
      </c>
      <c r="D35" s="4"/>
      <c r="E35" s="13">
        <v>0.202699196085557</v>
      </c>
      <c r="F35" s="12">
        <f t="shared" si="0"/>
        <v>0.23730986943525456</v>
      </c>
      <c r="G35" s="21">
        <f t="shared" si="1"/>
        <v>3.203074828073595</v>
      </c>
      <c r="H35" s="6">
        <v>0.24996908463536899</v>
      </c>
      <c r="I35" s="12">
        <f t="shared" si="2"/>
        <v>0.52585319254295948</v>
      </c>
      <c r="J35" s="21">
        <f t="shared" si="3"/>
        <v>15.727674542139658</v>
      </c>
      <c r="K35" s="6">
        <v>0.26817367809640502</v>
      </c>
      <c r="L35" s="12">
        <f t="shared" si="4"/>
        <v>0.63697708249114138</v>
      </c>
      <c r="M35" s="21">
        <f t="shared" si="5"/>
        <v>23.077199174207305</v>
      </c>
      <c r="N35" s="6">
        <v>0.26605903782753898</v>
      </c>
      <c r="O35" s="12">
        <f t="shared" si="6"/>
        <v>0.62406896383304467</v>
      </c>
      <c r="P35" s="21">
        <f t="shared" si="7"/>
        <v>22.151373164283779</v>
      </c>
      <c r="Q35" s="8"/>
      <c r="R35" s="4"/>
      <c r="S35" s="6">
        <v>0.18619090857703099</v>
      </c>
      <c r="T35" s="5">
        <f t="shared" si="8"/>
        <v>1.6240689638330448</v>
      </c>
      <c r="U35">
        <v>1</v>
      </c>
    </row>
    <row r="36" spans="1:21" x14ac:dyDescent="0.3">
      <c r="A36" s="1">
        <v>0.32</v>
      </c>
      <c r="B36" s="2">
        <v>2.6997500000000001E-2</v>
      </c>
      <c r="C36" t="s">
        <v>4</v>
      </c>
      <c r="E36" s="13">
        <v>0.267392911350606</v>
      </c>
      <c r="F36" s="12">
        <f t="shared" si="0"/>
        <v>0.16439715202935626</v>
      </c>
      <c r="G36" s="21">
        <f t="shared" si="1"/>
        <v>3.7970073366589201</v>
      </c>
      <c r="H36" s="6">
        <v>0.38871335778175398</v>
      </c>
      <c r="I36" s="12">
        <f t="shared" si="2"/>
        <v>0.21472924306798116</v>
      </c>
      <c r="J36" s="21">
        <f t="shared" si="3"/>
        <v>6.4779149734949</v>
      </c>
      <c r="K36" s="6">
        <v>0.377884844296838</v>
      </c>
      <c r="L36" s="12">
        <f t="shared" si="4"/>
        <v>0.18089013842761872</v>
      </c>
      <c r="M36" s="21">
        <f t="shared" si="5"/>
        <v>4.5970861140779009</v>
      </c>
      <c r="N36" s="6">
        <v>0.39164204245472201</v>
      </c>
      <c r="O36" s="12">
        <f t="shared" si="6"/>
        <v>0.22388138267100624</v>
      </c>
      <c r="P36" s="21">
        <f t="shared" si="7"/>
        <v>7.0418832061800449</v>
      </c>
      <c r="Q36" s="2"/>
      <c r="S36" s="6">
        <v>0.43261019333150302</v>
      </c>
      <c r="T36" s="5">
        <f t="shared" si="8"/>
        <v>1.2238813826710062</v>
      </c>
      <c r="U36">
        <v>1</v>
      </c>
    </row>
    <row r="37" spans="1:21" x14ac:dyDescent="0.3">
      <c r="A37" s="1">
        <v>0.35323379999999999</v>
      </c>
      <c r="B37" s="2">
        <v>3.33479E-2</v>
      </c>
      <c r="C37" t="s">
        <v>5</v>
      </c>
      <c r="E37" s="13">
        <v>0.430506405101796</v>
      </c>
      <c r="F37" s="12">
        <f t="shared" si="0"/>
        <v>0.21875767579941674</v>
      </c>
      <c r="G37" s="21">
        <f t="shared" si="1"/>
        <v>5.3692561940212382</v>
      </c>
      <c r="H37" s="6">
        <v>0.49484522763858002</v>
      </c>
      <c r="I37" s="12">
        <f t="shared" si="2"/>
        <v>0.4008999921258386</v>
      </c>
      <c r="J37" s="21">
        <f t="shared" si="3"/>
        <v>18.032652811817908</v>
      </c>
      <c r="K37" s="6">
        <v>0.369524562565335</v>
      </c>
      <c r="L37" s="12">
        <f t="shared" si="4"/>
        <v>4.6118923402389621E-2</v>
      </c>
      <c r="M37" s="21">
        <f t="shared" si="5"/>
        <v>0.23864143227918094</v>
      </c>
      <c r="N37" s="6">
        <v>0.37881776248627802</v>
      </c>
      <c r="O37" s="12">
        <f t="shared" si="6"/>
        <v>7.2427843785838261E-2</v>
      </c>
      <c r="P37" s="21">
        <f t="shared" si="7"/>
        <v>0.58857069965909348</v>
      </c>
      <c r="Q37" s="2"/>
      <c r="S37" s="6">
        <v>0.56251744557630801</v>
      </c>
      <c r="T37" s="5">
        <f t="shared" si="8"/>
        <v>1.0724278437858383</v>
      </c>
      <c r="U37">
        <v>1</v>
      </c>
    </row>
    <row r="38" spans="1:21" x14ac:dyDescent="0.3">
      <c r="A38" s="1">
        <v>0.25</v>
      </c>
      <c r="B38" s="2">
        <v>4.20769E-2</v>
      </c>
      <c r="C38" t="s">
        <v>6</v>
      </c>
      <c r="E38" s="13">
        <v>0.50039444411893297</v>
      </c>
      <c r="F38" s="12">
        <f t="shared" si="0"/>
        <v>1.0015777764757319</v>
      </c>
      <c r="G38" s="21">
        <f t="shared" si="1"/>
        <v>35.412933583658891</v>
      </c>
      <c r="H38" s="6">
        <v>0.263766152873955</v>
      </c>
      <c r="I38" s="12">
        <f t="shared" si="2"/>
        <v>5.5064611495819982E-2</v>
      </c>
      <c r="J38" s="21">
        <f t="shared" si="3"/>
        <v>0.10703793069806394</v>
      </c>
      <c r="K38" s="6">
        <v>0.44799372180545499</v>
      </c>
      <c r="L38" s="12">
        <f t="shared" si="4"/>
        <v>0.79197488722181997</v>
      </c>
      <c r="M38" s="21">
        <f t="shared" si="5"/>
        <v>22.141924580300667</v>
      </c>
      <c r="N38" s="6">
        <v>0.37809651976221298</v>
      </c>
      <c r="O38" s="12">
        <f t="shared" si="6"/>
        <v>0.51238607904885192</v>
      </c>
      <c r="P38" s="21">
        <f t="shared" si="7"/>
        <v>9.2680248494270021</v>
      </c>
      <c r="Q38" s="2"/>
      <c r="S38" s="6">
        <v>0.19168669228902499</v>
      </c>
      <c r="T38" s="5">
        <f t="shared" si="8"/>
        <v>1.5123860790488519</v>
      </c>
      <c r="U38">
        <v>1</v>
      </c>
    </row>
    <row r="39" spans="1:21" x14ac:dyDescent="0.3">
      <c r="A39" s="1">
        <v>0.05</v>
      </c>
      <c r="B39" s="2">
        <v>4.9817899999999998E-2</v>
      </c>
      <c r="C39" t="s">
        <v>15</v>
      </c>
      <c r="E39" s="13">
        <v>9.1616960427514202E-2</v>
      </c>
      <c r="F39" s="12">
        <f t="shared" si="0"/>
        <v>0.83233920855028398</v>
      </c>
      <c r="G39" s="21">
        <f t="shared" si="1"/>
        <v>0.69786253221166628</v>
      </c>
      <c r="H39" s="6">
        <v>4.45167703467204E-2</v>
      </c>
      <c r="I39" s="12">
        <f t="shared" si="2"/>
        <v>0.10966459306559206</v>
      </c>
      <c r="J39" s="21">
        <f t="shared" si="3"/>
        <v>1.2114403600632793E-2</v>
      </c>
      <c r="K39" s="6">
        <v>0.10917380413995301</v>
      </c>
      <c r="L39" s="12">
        <f t="shared" si="4"/>
        <v>1.18347608279906</v>
      </c>
      <c r="M39" s="21">
        <f t="shared" si="5"/>
        <v>1.410873728737007</v>
      </c>
      <c r="N39" s="6">
        <v>8.9868639617681101E-2</v>
      </c>
      <c r="O39" s="12">
        <f t="shared" si="6"/>
        <v>0.79737279235362191</v>
      </c>
      <c r="P39" s="21">
        <f t="shared" si="7"/>
        <v>0.64045998535284132</v>
      </c>
      <c r="Q39" s="2"/>
      <c r="S39" s="6">
        <v>0.14815089592226199</v>
      </c>
      <c r="T39" s="5">
        <f t="shared" si="8"/>
        <v>1.797372792353622</v>
      </c>
      <c r="U39">
        <v>1</v>
      </c>
    </row>
    <row r="40" spans="1:21" x14ac:dyDescent="0.3">
      <c r="A40" s="1">
        <v>0.27154050000000002</v>
      </c>
      <c r="B40" s="2">
        <v>2.22867E-2</v>
      </c>
      <c r="C40" t="s">
        <v>8</v>
      </c>
      <c r="E40" s="13">
        <v>0.18125598211239799</v>
      </c>
      <c r="F40" s="12">
        <f t="shared" si="0"/>
        <v>0.33249006276265242</v>
      </c>
      <c r="G40" s="21">
        <f t="shared" si="1"/>
        <v>16.410999505201239</v>
      </c>
      <c r="H40" s="6">
        <v>0.24493019592519699</v>
      </c>
      <c r="I40" s="12">
        <f t="shared" si="2"/>
        <v>9.799755128536268E-2</v>
      </c>
      <c r="J40" s="21">
        <f t="shared" si="3"/>
        <v>1.4256343150596869</v>
      </c>
      <c r="K40" s="6">
        <v>0.26459610719957699</v>
      </c>
      <c r="L40" s="12">
        <f t="shared" si="4"/>
        <v>2.5574059119810956E-2</v>
      </c>
      <c r="M40" s="21">
        <f t="shared" si="5"/>
        <v>9.7090563600180452E-2</v>
      </c>
      <c r="N40" s="6">
        <v>0.221395468929346</v>
      </c>
      <c r="O40" s="12">
        <f t="shared" si="6"/>
        <v>0.18466869977279268</v>
      </c>
      <c r="P40" s="21">
        <f t="shared" si="7"/>
        <v>5.0624911300475022</v>
      </c>
      <c r="Q40" s="2"/>
      <c r="S40" s="6">
        <v>0.196436771315912</v>
      </c>
      <c r="T40" s="5">
        <f t="shared" si="8"/>
        <v>0.81533130022720735</v>
      </c>
      <c r="U40">
        <v>1</v>
      </c>
    </row>
    <row r="41" spans="1:21" x14ac:dyDescent="0.3">
      <c r="A41" s="1">
        <v>0.25757580000000002</v>
      </c>
      <c r="B41" s="2">
        <v>2.0703200000000001E-2</v>
      </c>
      <c r="C41" t="s">
        <v>9</v>
      </c>
      <c r="E41" s="13">
        <v>0.25400672105717498</v>
      </c>
      <c r="F41" s="12">
        <f t="shared" si="0"/>
        <v>1.3856421848733627E-2</v>
      </c>
      <c r="G41" s="21">
        <f t="shared" si="1"/>
        <v>2.9719216303802719E-2</v>
      </c>
      <c r="H41" s="6">
        <v>0.33974580539353999</v>
      </c>
      <c r="I41" s="12">
        <f t="shared" si="2"/>
        <v>0.31901290957279355</v>
      </c>
      <c r="J41" s="21">
        <f t="shared" si="3"/>
        <v>15.752579344573748</v>
      </c>
      <c r="K41" s="6">
        <v>0.336643109679168</v>
      </c>
      <c r="L41" s="12">
        <f t="shared" si="4"/>
        <v>0.30696715172453298</v>
      </c>
      <c r="M41" s="21">
        <f t="shared" si="5"/>
        <v>14.585420975929068</v>
      </c>
      <c r="N41" s="6">
        <v>0.367494563387189</v>
      </c>
      <c r="O41" s="12">
        <f t="shared" si="6"/>
        <v>0.42674336403959134</v>
      </c>
      <c r="P41" s="21">
        <f t="shared" si="7"/>
        <v>28.188288808185604</v>
      </c>
      <c r="Q41" s="2"/>
      <c r="S41" s="6">
        <v>0.31970883586902499</v>
      </c>
      <c r="T41" s="5">
        <f t="shared" si="8"/>
        <v>1.4267433640395912</v>
      </c>
      <c r="U41">
        <v>1</v>
      </c>
    </row>
    <row r="42" spans="1:21" x14ac:dyDescent="0.3">
      <c r="A42" s="1">
        <v>0.25974029999999998</v>
      </c>
      <c r="B42" s="2">
        <v>4.96336E-2</v>
      </c>
      <c r="C42" t="s">
        <v>10</v>
      </c>
      <c r="E42" s="13">
        <v>0.58407513422949997</v>
      </c>
      <c r="F42" s="12">
        <f t="shared" si="0"/>
        <v>1.2486889182367928</v>
      </c>
      <c r="G42" s="21">
        <f t="shared" si="1"/>
        <v>42.70076325085234</v>
      </c>
      <c r="H42" s="6">
        <v>0.63827008170080102</v>
      </c>
      <c r="I42" s="12">
        <f t="shared" si="2"/>
        <v>1.4573394336604719</v>
      </c>
      <c r="J42" s="21">
        <f t="shared" si="3"/>
        <v>58.163235288633558</v>
      </c>
      <c r="K42" s="6">
        <v>0.62504729902085199</v>
      </c>
      <c r="L42" s="12">
        <f t="shared" si="4"/>
        <v>1.4064317282333625</v>
      </c>
      <c r="M42" s="21">
        <f t="shared" si="5"/>
        <v>54.170698222639778</v>
      </c>
      <c r="N42" s="6">
        <v>0.67041386550275195</v>
      </c>
      <c r="O42" s="12">
        <f t="shared" si="6"/>
        <v>1.581092982116183</v>
      </c>
      <c r="P42" s="21">
        <f t="shared" si="7"/>
        <v>68.460796072059992</v>
      </c>
      <c r="Q42" s="2"/>
      <c r="S42" s="6">
        <v>0.64938507715163096</v>
      </c>
      <c r="T42" s="5">
        <f t="shared" si="8"/>
        <v>2.581092982116183</v>
      </c>
      <c r="U42">
        <v>1</v>
      </c>
    </row>
    <row r="43" spans="1:21" x14ac:dyDescent="0.3">
      <c r="A43" s="1">
        <v>0.18442620000000001</v>
      </c>
      <c r="B43" s="2">
        <v>1.67869E-2</v>
      </c>
      <c r="C43" t="s">
        <v>11</v>
      </c>
      <c r="E43" s="13">
        <v>0.18753128282774501</v>
      </c>
      <c r="F43" s="12">
        <f t="shared" si="0"/>
        <v>1.6836451804271804E-2</v>
      </c>
      <c r="G43" s="21">
        <f t="shared" si="1"/>
        <v>3.4214119836518481E-2</v>
      </c>
      <c r="H43" s="6">
        <v>0.27001761655197798</v>
      </c>
      <c r="I43" s="12">
        <f t="shared" si="2"/>
        <v>0.46409575511493467</v>
      </c>
      <c r="J43" s="21">
        <f t="shared" si="3"/>
        <v>25.996771772717128</v>
      </c>
      <c r="K43" s="6">
        <v>0.27294418562289302</v>
      </c>
      <c r="L43" s="12">
        <f t="shared" si="4"/>
        <v>0.47996426550508009</v>
      </c>
      <c r="M43" s="21">
        <f t="shared" si="5"/>
        <v>27.804944840025847</v>
      </c>
      <c r="N43" s="6">
        <v>0.25410991678325601</v>
      </c>
      <c r="O43" s="12">
        <f t="shared" si="6"/>
        <v>0.37784065812371553</v>
      </c>
      <c r="P43" s="21">
        <f t="shared" si="7"/>
        <v>17.23144139344215</v>
      </c>
      <c r="Q43" s="2"/>
      <c r="S43" s="6">
        <v>0.25904386905140397</v>
      </c>
      <c r="T43" s="5">
        <f t="shared" si="8"/>
        <v>1.3778406581237155</v>
      </c>
      <c r="U43">
        <v>1</v>
      </c>
    </row>
    <row r="44" spans="1:21" ht="15" thickBot="1" x14ac:dyDescent="0.35">
      <c r="A44" s="14">
        <v>0.35253459999999998</v>
      </c>
      <c r="B44" s="15">
        <v>2.24409E-2</v>
      </c>
      <c r="C44" s="16" t="s">
        <v>12</v>
      </c>
      <c r="D44" s="16"/>
      <c r="E44" s="17">
        <v>0.337654037851502</v>
      </c>
      <c r="F44" s="22">
        <f t="shared" si="0"/>
        <v>4.2210217517650687E-2</v>
      </c>
      <c r="G44" s="23">
        <f t="shared" si="1"/>
        <v>0.4397016902837721</v>
      </c>
      <c r="H44" s="24">
        <v>0.42054295235099198</v>
      </c>
      <c r="I44" s="22">
        <f t="shared" si="2"/>
        <v>0.19291256050042183</v>
      </c>
      <c r="J44" s="23">
        <f t="shared" si="3"/>
        <v>9.1842556812263023</v>
      </c>
      <c r="K44" s="24">
        <v>0.40307266997937602</v>
      </c>
      <c r="L44" s="22">
        <f t="shared" si="4"/>
        <v>0.14335634000003417</v>
      </c>
      <c r="M44" s="23">
        <f t="shared" si="5"/>
        <v>5.071737458560075</v>
      </c>
      <c r="N44" s="19">
        <v>0.42718334801886199</v>
      </c>
      <c r="O44" s="18">
        <f t="shared" si="6"/>
        <v>0.21174871351311905</v>
      </c>
      <c r="P44" s="25">
        <f t="shared" si="7"/>
        <v>11.065333702036371</v>
      </c>
      <c r="Q44" s="15"/>
      <c r="R44" s="16"/>
      <c r="S44" s="19">
        <v>0.42172440388398003</v>
      </c>
      <c r="T44" s="20">
        <f t="shared" si="8"/>
        <v>1.2117487135131191</v>
      </c>
      <c r="U44" s="16">
        <v>1</v>
      </c>
    </row>
    <row r="45" spans="1:21" ht="15" thickTop="1" x14ac:dyDescent="0.3">
      <c r="S45">
        <v>0.75258765342337697</v>
      </c>
    </row>
    <row r="46" spans="1:21" x14ac:dyDescent="0.3">
      <c r="A46" s="10" t="s">
        <v>27</v>
      </c>
      <c r="G46" s="2">
        <f>SUM(G2:G44)</f>
        <v>1310.3275501000917</v>
      </c>
      <c r="J46" s="2">
        <f>SUM(J2:J44)</f>
        <v>764.0284455223948</v>
      </c>
      <c r="M46" s="2">
        <f>SUM(M2:M44)</f>
        <v>701.42416149806377</v>
      </c>
      <c r="P46" s="2">
        <f>SUM(P2:P44)</f>
        <v>932.60591119441699</v>
      </c>
    </row>
    <row r="50" spans="17:30" x14ac:dyDescent="0.3">
      <c r="Q50" s="2"/>
      <c r="R50" s="2"/>
      <c r="S50" s="10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moments_new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mv416</dc:creator>
  <cp:lastModifiedBy>Christian Rörig</cp:lastModifiedBy>
  <dcterms:created xsi:type="dcterms:W3CDTF">2020-11-16T15:04:59Z</dcterms:created>
  <dcterms:modified xsi:type="dcterms:W3CDTF">2021-04-28T08:02:58Z</dcterms:modified>
</cp:coreProperties>
</file>